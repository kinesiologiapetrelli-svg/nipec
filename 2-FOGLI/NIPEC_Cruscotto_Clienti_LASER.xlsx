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GIMI" sheetId="1" state="visible" r:id="rId1"/>
    <sheet name="OGGI" sheetId="2" state="visible" r:id="rId2"/>
    <sheet name="CLIENTI" sheetId="3" state="visible" r:id="rId3"/>
    <sheet name="RIEPILOGO" sheetId="4" state="visible" r:id="rId4"/>
    <sheet name="INCENTIVI" sheetId="5" state="visible" r:id="rId5"/>
    <sheet name="IMPOSTAZIONI" sheetId="6" state="visible" r:id="rId6"/>
  </sheets>
  <definedNames>
    <definedName name="_xlnm._FilterDatabase" localSheetId="2" hidden="1">'CLIENTI'!$A$4:$R$304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 &quot;€&quot;"/>
  </numFmts>
  <fonts count="9">
    <font>
      <name val="Calibri"/>
      <family val="2"/>
      <color theme="1"/>
      <sz val="11"/>
      <scheme val="minor"/>
    </font>
    <font>
      <name val="Arial"/>
      <b val="1"/>
      <color rgb="FF123A63"/>
      <sz val="16"/>
    </font>
    <font>
      <name val="Arial"/>
      <color rgb="FF5A6B79"/>
      <sz val="10"/>
    </font>
    <font>
      <name val="Arial"/>
      <b val="1"/>
      <color rgb="FF1C6EA4"/>
      <sz val="10"/>
    </font>
    <font>
      <name val="Arial"/>
      <sz val="10"/>
    </font>
    <font>
      <name val="Arial"/>
      <b val="1"/>
      <color rgb="FFFFFFFF"/>
      <sz val="9"/>
    </font>
    <font>
      <name val="Arial"/>
      <b val="1"/>
      <sz val="10"/>
    </font>
    <font>
      <name val="Arial"/>
      <i val="1"/>
      <color rgb="FF5A6B79"/>
      <sz val="10"/>
    </font>
    <font>
      <name val="Arial"/>
      <b val="1"/>
      <color rgb="FF1C6EA4"/>
      <sz val="12"/>
    </font>
  </fonts>
  <fills count="5">
    <fill>
      <patternFill/>
    </fill>
    <fill>
      <patternFill patternType="gray125"/>
    </fill>
    <fill>
      <patternFill patternType="solid">
        <fgColor rgb="FF123A63"/>
      </patternFill>
    </fill>
    <fill>
      <patternFill patternType="solid">
        <fgColor rgb="FFFDF3D0"/>
      </patternFill>
    </fill>
    <fill>
      <patternFill patternType="solid">
        <fgColor rgb="FFF2F5F8"/>
      </patternFill>
    </fill>
  </fills>
  <borders count="2">
    <border>
      <left/>
      <right/>
      <top/>
      <bottom/>
      <diagonal/>
    </border>
    <border>
      <bottom style="thin">
        <color rgb="FFD9E2E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4" fillId="0" borderId="1" pivotButton="0" quotePrefix="0" xfId="0"/>
    <xf numFmtId="0" fontId="6" fillId="0" borderId="1" pivotButton="0" quotePrefix="0" xfId="0"/>
    <xf numFmtId="164" fontId="4" fillId="0" borderId="1" pivotButton="0" quotePrefix="0" xfId="0"/>
    <xf numFmtId="0" fontId="7" fillId="0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4" fillId="3" borderId="1" pivotButton="0" quotePrefix="0" xfId="0"/>
    <xf numFmtId="0" fontId="6" fillId="4" borderId="1" pivotButton="0" quotePrefix="0" xfId="0"/>
    <xf numFmtId="164" fontId="4" fillId="3" borderId="1" pivotButton="0" quotePrefix="0" xfId="0"/>
    <xf numFmtId="1" fontId="4" fillId="3" borderId="1" pivotButton="0" quotePrefix="0" xfId="0"/>
    <xf numFmtId="0" fontId="4" fillId="4" borderId="1" pivotButton="0" quotePrefix="0" xfId="0"/>
    <xf numFmtId="49" fontId="4" fillId="3" borderId="1" pivotButton="0" quotePrefix="0" xfId="0"/>
    <xf numFmtId="1" fontId="4" fillId="4" borderId="1" pivotButton="0" quotePrefix="0" xfId="0"/>
    <xf numFmtId="165" fontId="4" fillId="3" borderId="1" pivotButton="0" quotePrefix="0" xfId="0"/>
    <xf numFmtId="165" fontId="4" fillId="4" borderId="1" pivotButton="0" quotePrefix="0" xfId="0"/>
    <xf numFmtId="0" fontId="6" fillId="0" borderId="0" pivotButton="0" quotePrefix="0" xfId="0"/>
    <xf numFmtId="1" fontId="8" fillId="4" borderId="0" applyAlignment="1" pivotButton="0" quotePrefix="0" xfId="0">
      <alignment horizontal="center"/>
    </xf>
    <xf numFmtId="165" fontId="8" fillId="4" borderId="0" applyAlignment="1" pivotButton="0" quotePrefix="0" xfId="0">
      <alignment horizontal="center"/>
    </xf>
    <xf numFmtId="9" fontId="8" fillId="4" borderId="0" applyAlignment="1" pivotButton="0" quotePrefix="0" xfId="0">
      <alignment horizontal="center"/>
    </xf>
    <xf numFmtId="164" fontId="8" fillId="4" borderId="0" applyAlignment="1" pivotButton="0" quotePrefix="0" xfId="0">
      <alignment horizontal="center"/>
    </xf>
    <xf numFmtId="0" fontId="4" fillId="4" borderId="0" pivotButton="0" quotePrefix="0" xfId="0"/>
    <xf numFmtId="1" fontId="6" fillId="4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FFFAEAE6"/>
        </patternFill>
      </fill>
    </dxf>
    <dxf>
      <fill>
        <patternFill patternType="solid">
          <fgColor rgb="FFF8EFDB"/>
        </patternFill>
      </fill>
    </dxf>
    <dxf>
      <fill>
        <patternFill patternType="solid">
          <fgColor rgb="FFE2F1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NIPEC</author>
  </authors>
  <commentList>
    <comment ref="B4" authorId="0" shapeId="0">
      <text>
        <t>Non scrivere qui dentro: è una formula.
Il numero davanti è la priorità, così ordinando dalla A alla Z
le telefonate vengono già nell'ordine giusto.</t>
      </text>
    </comment>
    <comment ref="S4" authorId="0" shapeId="0">
      <text>
        <t>Colonna di servizio: qui sta il ragionamento che decide l'avviso.
È nascosta apposta. Non cancellarla.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2">
      <c r="B2" s="1" t="inlineStr">
        <is>
          <t>Cruscotto Clienti · laser</t>
        </is>
      </c>
    </row>
    <row r="3">
      <c r="B3" s="2" t="inlineStr">
        <is>
          <t>NIPEC · Tecnologie Estetiche</t>
        </is>
      </c>
    </row>
    <row r="6">
      <c r="B6" s="3" t="inlineStr">
        <is>
          <t>A COSA SERVE</t>
        </is>
      </c>
    </row>
    <row r="7">
      <c r="C7" s="4" t="inlineStr">
        <is>
          <t>Dice ogni mattina chi richiamare e in che ordine. Si guarda una colonna sola:</t>
        </is>
      </c>
    </row>
    <row r="8">
      <c r="C8" s="4" t="inlineStr">
        <is>
          <t>COSA FARE OGGI. Si ordina per quella e si lavora dall'alto.</t>
        </is>
      </c>
    </row>
    <row r="10">
      <c r="B10" s="3" t="inlineStr">
        <is>
          <t>LE TRE REGOLE</t>
        </is>
      </c>
    </row>
    <row r="11">
      <c r="B11" s="3" t="inlineStr">
        <is>
          <t>Giallo</t>
        </is>
      </c>
      <c r="C11" s="4" t="inlineStr">
        <is>
          <t>lo scrivi tu. Sono le uniche celle da toccare.</t>
        </is>
      </c>
    </row>
    <row r="12">
      <c r="B12" s="3" t="inlineStr">
        <is>
          <t>Grigio</t>
        </is>
      </c>
      <c r="C12" s="4" t="inlineStr">
        <is>
          <t>si calcola da solo. Se ci scrivi dentro, quella riga smette di avvisare.</t>
        </is>
      </c>
    </row>
    <row r="13">
      <c r="B13" s="3" t="inlineStr">
        <is>
          <t>Riga 5</t>
        </is>
      </c>
      <c r="C13" s="4" t="inlineStr">
        <is>
          <t>è un esempio. Seleziona le celle gialle e cancellale quando cominci.</t>
        </is>
      </c>
    </row>
    <row r="15">
      <c r="B15" s="3" t="inlineStr">
        <is>
          <t>IL GESTO DI OGNI GIORNO</t>
        </is>
      </c>
    </row>
    <row r="16">
      <c r="C16" s="4" t="inlineStr">
        <is>
          <t>La cliente viene: alzi Sedute fatte di uno, metti Ultima seduta a oggi,</t>
        </is>
      </c>
    </row>
    <row r="17">
      <c r="C17" s="4" t="inlineStr">
        <is>
          <t>e fissi il Prossimo appuntamento PRIMA che esca dalla porta.</t>
        </is>
      </c>
    </row>
    <row r="18">
      <c r="C18" s="4" t="inlineStr">
        <is>
          <t>Se fai le prime due e salti la terza, domattina te la ritrovi in cima.</t>
        </is>
      </c>
    </row>
    <row r="20">
      <c r="B20" s="3" t="inlineStr">
        <is>
          <t>I FOGLI</t>
        </is>
      </c>
    </row>
    <row r="21">
      <c r="B21" s="3" t="inlineStr">
        <is>
          <t>CLIENTI</t>
        </is>
      </c>
      <c r="C21" s="4" t="inlineStr">
        <is>
          <t>la rubrica. Una riga per persona, o una per zona se i cicli sono separati.</t>
        </is>
      </c>
    </row>
    <row r="22">
      <c r="B22" s="3" t="inlineStr">
        <is>
          <t>OGGI</t>
        </is>
      </c>
      <c r="C22" s="4" t="inlineStr">
        <is>
          <t>solo chi va chiamato, già in ordine. È quello da aprire la mattina.</t>
        </is>
      </c>
    </row>
    <row r="23">
      <c r="B23" s="3" t="inlineStr">
        <is>
          <t>RIEPILOGO</t>
        </is>
      </c>
      <c r="C23" s="4" t="inlineStr">
        <is>
          <t>i numeri del centro. Da qui il master NIPEC legge sei celle: non spostarle.</t>
        </is>
      </c>
    </row>
    <row r="24">
      <c r="B24" s="3" t="inlineStr">
        <is>
          <t>INCENTIVI</t>
        </is>
      </c>
      <c r="C24" s="4" t="inlineStr">
        <is>
          <t>le tre offerte. Le rinomini qui e il cruscotto le segue.</t>
        </is>
      </c>
    </row>
    <row r="25">
      <c r="B25" s="3" t="inlineStr">
        <is>
          <t>IMPOSTAZIONI</t>
        </is>
      </c>
      <c r="C25" s="4" t="inlineStr">
        <is>
          <t>i sei numeri dell'orologio del laser. Cambi lì, cambia tutto.</t>
        </is>
      </c>
    </row>
    <row r="27">
      <c r="B27" s="3" t="inlineStr">
        <is>
          <t>LA REGOLA D'ORO</t>
        </is>
      </c>
    </row>
    <row r="28">
      <c r="C28" s="4" t="inlineStr">
        <is>
          <t>Nessuna esce senza il prossimo appuntamento.</t>
        </is>
      </c>
    </row>
    <row r="29">
      <c r="C29" s="4" t="inlineStr">
        <is>
          <t>Sotto il 90% di copertura il centro sta perdendo clienti senza accorgersene.</t>
        </is>
      </c>
    </row>
    <row r="31">
      <c r="B31" s="3" t="inlineStr">
        <is>
          <t>ASSISTENZA</t>
        </is>
      </c>
      <c r="C31" s="4" t="inlineStr">
        <is>
          <t>351 846 6025</t>
        </is>
      </c>
    </row>
  </sheetData>
  <mergeCells count="17">
    <mergeCell ref="C17:J17"/>
    <mergeCell ref="C12:J12"/>
    <mergeCell ref="C29:J29"/>
    <mergeCell ref="C7:J7"/>
    <mergeCell ref="C21:J21"/>
    <mergeCell ref="C11:J11"/>
    <mergeCell ref="C25:J25"/>
    <mergeCell ref="C24:J24"/>
    <mergeCell ref="C16:J16"/>
    <mergeCell ref="C28:J28"/>
    <mergeCell ref="C13:J13"/>
    <mergeCell ref="C22:J22"/>
    <mergeCell ref="B3:H3"/>
    <mergeCell ref="C31:J31"/>
    <mergeCell ref="C23:J23"/>
    <mergeCell ref="C8:J8"/>
    <mergeCell ref="C18:J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3" customWidth="1" min="3" max="3"/>
    <col width="9" customWidth="1" min="4" max="4"/>
    <col width="15" customWidth="1" min="5" max="5"/>
    <col width="40" customWidth="1" min="6" max="6"/>
    <col hidden="1" width="10" customWidth="1" min="7" max="7"/>
  </cols>
  <sheetData>
    <row r="2">
      <c r="B2" s="1" t="inlineStr">
        <is>
          <t>OGGI</t>
        </is>
      </c>
    </row>
    <row r="3">
      <c r="B3" s="2" t="inlineStr">
        <is>
          <t>Solo chi va chiamato, già in ordine. Si guarda questo, la mattina.</t>
        </is>
      </c>
    </row>
    <row r="4">
      <c r="A4" s="5" t="inlineStr">
        <is>
          <t>Nome</t>
        </is>
      </c>
      <c r="B4" s="5" t="inlineStr">
        <is>
          <t>COSA FARE OGGI</t>
        </is>
      </c>
      <c r="C4" s="5" t="inlineStr">
        <is>
          <t>Prossimo</t>
        </is>
      </c>
      <c r="D4" s="5" t="inlineStr">
        <is>
          <t>Sedute</t>
        </is>
      </c>
      <c r="E4" s="5" t="inlineStr">
        <is>
          <t>Stato</t>
        </is>
      </c>
      <c r="F4" s="5" t="inlineStr">
        <is>
          <t>Promemoria</t>
        </is>
      </c>
      <c r="G4" s="5" t="inlineStr">
        <is>
          <t>chiave</t>
        </is>
      </c>
    </row>
    <row r="5">
      <c r="A5" s="6">
        <f>IF($G5="","",IFERROR(INDEX(CLIENTI!A$5:A$304,MATCH($G5,CLIENTI!$T$5:$T$304,0)),""))</f>
        <v/>
      </c>
      <c r="B5" s="7">
        <f>IF($G5="","",IFERROR(INDEX(CLIENTI!B$5:B$304,MATCH($G5,CLIENTI!$T$5:$T$304,0)),""))</f>
        <v/>
      </c>
      <c r="C5" s="8">
        <f>IF($G5="","",IFERROR(INDEX(CLIENTI!C$5:C$304,MATCH($G5,CLIENTI!$T$5:$T$304,0)),""))</f>
        <v/>
      </c>
      <c r="D5" s="6">
        <f>IF($G5="","",IFERROR(INDEX(CLIENTI!D$5:D$304,MATCH($G5,CLIENTI!$T$5:$T$304,0)),""))</f>
        <v/>
      </c>
      <c r="E5" s="6">
        <f>IF($G5="","",IFERROR(INDEX(CLIENTI!E$5:E$304,MATCH($G5,CLIENTI!$T$5:$T$304,0)),""))</f>
        <v/>
      </c>
      <c r="F5" s="6">
        <f>IF($G5="","",IFERROR(INDEX(CLIENTI!F$5:F$304,MATCH($G5,CLIENTI!$T$5:$T$304,0)),""))</f>
        <v/>
      </c>
      <c r="G5" s="4">
        <f>IFERROR(SMALL(CLIENTI!$T$5:$T$304,ROW()-4),"")</f>
        <v/>
      </c>
    </row>
    <row r="6">
      <c r="A6" s="6">
        <f>IF($G6="","",IFERROR(INDEX(CLIENTI!A$5:A$304,MATCH($G6,CLIENTI!$T$5:$T$304,0)),""))</f>
        <v/>
      </c>
      <c r="B6" s="7">
        <f>IF($G6="","",IFERROR(INDEX(CLIENTI!B$5:B$304,MATCH($G6,CLIENTI!$T$5:$T$304,0)),""))</f>
        <v/>
      </c>
      <c r="C6" s="8">
        <f>IF($G6="","",IFERROR(INDEX(CLIENTI!C$5:C$304,MATCH($G6,CLIENTI!$T$5:$T$304,0)),""))</f>
        <v/>
      </c>
      <c r="D6" s="6">
        <f>IF($G6="","",IFERROR(INDEX(CLIENTI!D$5:D$304,MATCH($G6,CLIENTI!$T$5:$T$304,0)),""))</f>
        <v/>
      </c>
      <c r="E6" s="6">
        <f>IF($G6="","",IFERROR(INDEX(CLIENTI!E$5:E$304,MATCH($G6,CLIENTI!$T$5:$T$304,0)),""))</f>
        <v/>
      </c>
      <c r="F6" s="6">
        <f>IF($G6="","",IFERROR(INDEX(CLIENTI!F$5:F$304,MATCH($G6,CLIENTI!$T$5:$T$304,0)),""))</f>
        <v/>
      </c>
      <c r="G6" s="4">
        <f>IFERROR(SMALL(CLIENTI!$T$5:$T$304,ROW()-4),"")</f>
        <v/>
      </c>
    </row>
    <row r="7">
      <c r="A7" s="6">
        <f>IF($G7="","",IFERROR(INDEX(CLIENTI!A$5:A$304,MATCH($G7,CLIENTI!$T$5:$T$304,0)),""))</f>
        <v/>
      </c>
      <c r="B7" s="7">
        <f>IF($G7="","",IFERROR(INDEX(CLIENTI!B$5:B$304,MATCH($G7,CLIENTI!$T$5:$T$304,0)),""))</f>
        <v/>
      </c>
      <c r="C7" s="8">
        <f>IF($G7="","",IFERROR(INDEX(CLIENTI!C$5:C$304,MATCH($G7,CLIENTI!$T$5:$T$304,0)),""))</f>
        <v/>
      </c>
      <c r="D7" s="6">
        <f>IF($G7="","",IFERROR(INDEX(CLIENTI!D$5:D$304,MATCH($G7,CLIENTI!$T$5:$T$304,0)),""))</f>
        <v/>
      </c>
      <c r="E7" s="6">
        <f>IF($G7="","",IFERROR(INDEX(CLIENTI!E$5:E$304,MATCH($G7,CLIENTI!$T$5:$T$304,0)),""))</f>
        <v/>
      </c>
      <c r="F7" s="6">
        <f>IF($G7="","",IFERROR(INDEX(CLIENTI!F$5:F$304,MATCH($G7,CLIENTI!$T$5:$T$304,0)),""))</f>
        <v/>
      </c>
      <c r="G7" s="4">
        <f>IFERROR(SMALL(CLIENTI!$T$5:$T$304,ROW()-4),"")</f>
        <v/>
      </c>
    </row>
    <row r="8">
      <c r="A8" s="6">
        <f>IF($G8="","",IFERROR(INDEX(CLIENTI!A$5:A$304,MATCH($G8,CLIENTI!$T$5:$T$304,0)),""))</f>
        <v/>
      </c>
      <c r="B8" s="7">
        <f>IF($G8="","",IFERROR(INDEX(CLIENTI!B$5:B$304,MATCH($G8,CLIENTI!$T$5:$T$304,0)),""))</f>
        <v/>
      </c>
      <c r="C8" s="8">
        <f>IF($G8="","",IFERROR(INDEX(CLIENTI!C$5:C$304,MATCH($G8,CLIENTI!$T$5:$T$304,0)),""))</f>
        <v/>
      </c>
      <c r="D8" s="6">
        <f>IF($G8="","",IFERROR(INDEX(CLIENTI!D$5:D$304,MATCH($G8,CLIENTI!$T$5:$T$304,0)),""))</f>
        <v/>
      </c>
      <c r="E8" s="6">
        <f>IF($G8="","",IFERROR(INDEX(CLIENTI!E$5:E$304,MATCH($G8,CLIENTI!$T$5:$T$304,0)),""))</f>
        <v/>
      </c>
      <c r="F8" s="6">
        <f>IF($G8="","",IFERROR(INDEX(CLIENTI!F$5:F$304,MATCH($G8,CLIENTI!$T$5:$T$304,0)),""))</f>
        <v/>
      </c>
      <c r="G8" s="4">
        <f>IFERROR(SMALL(CLIENTI!$T$5:$T$304,ROW()-4),"")</f>
        <v/>
      </c>
    </row>
    <row r="9">
      <c r="A9" s="6">
        <f>IF($G9="","",IFERROR(INDEX(CLIENTI!A$5:A$304,MATCH($G9,CLIENTI!$T$5:$T$304,0)),""))</f>
        <v/>
      </c>
      <c r="B9" s="7">
        <f>IF($G9="","",IFERROR(INDEX(CLIENTI!B$5:B$304,MATCH($G9,CLIENTI!$T$5:$T$304,0)),""))</f>
        <v/>
      </c>
      <c r="C9" s="8">
        <f>IF($G9="","",IFERROR(INDEX(CLIENTI!C$5:C$304,MATCH($G9,CLIENTI!$T$5:$T$304,0)),""))</f>
        <v/>
      </c>
      <c r="D9" s="6">
        <f>IF($G9="","",IFERROR(INDEX(CLIENTI!D$5:D$304,MATCH($G9,CLIENTI!$T$5:$T$304,0)),""))</f>
        <v/>
      </c>
      <c r="E9" s="6">
        <f>IF($G9="","",IFERROR(INDEX(CLIENTI!E$5:E$304,MATCH($G9,CLIENTI!$T$5:$T$304,0)),""))</f>
        <v/>
      </c>
      <c r="F9" s="6">
        <f>IF($G9="","",IFERROR(INDEX(CLIENTI!F$5:F$304,MATCH($G9,CLIENTI!$T$5:$T$304,0)),""))</f>
        <v/>
      </c>
      <c r="G9" s="4">
        <f>IFERROR(SMALL(CLIENTI!$T$5:$T$304,ROW()-4),"")</f>
        <v/>
      </c>
    </row>
    <row r="10">
      <c r="A10" s="6">
        <f>IF($G10="","",IFERROR(INDEX(CLIENTI!A$5:A$304,MATCH($G10,CLIENTI!$T$5:$T$304,0)),""))</f>
        <v/>
      </c>
      <c r="B10" s="7">
        <f>IF($G10="","",IFERROR(INDEX(CLIENTI!B$5:B$304,MATCH($G10,CLIENTI!$T$5:$T$304,0)),""))</f>
        <v/>
      </c>
      <c r="C10" s="8">
        <f>IF($G10="","",IFERROR(INDEX(CLIENTI!C$5:C$304,MATCH($G10,CLIENTI!$T$5:$T$304,0)),""))</f>
        <v/>
      </c>
      <c r="D10" s="6">
        <f>IF($G10="","",IFERROR(INDEX(CLIENTI!D$5:D$304,MATCH($G10,CLIENTI!$T$5:$T$304,0)),""))</f>
        <v/>
      </c>
      <c r="E10" s="6">
        <f>IF($G10="","",IFERROR(INDEX(CLIENTI!E$5:E$304,MATCH($G10,CLIENTI!$T$5:$T$304,0)),""))</f>
        <v/>
      </c>
      <c r="F10" s="6">
        <f>IF($G10="","",IFERROR(INDEX(CLIENTI!F$5:F$304,MATCH($G10,CLIENTI!$T$5:$T$304,0)),""))</f>
        <v/>
      </c>
      <c r="G10" s="4">
        <f>IFERROR(SMALL(CLIENTI!$T$5:$T$304,ROW()-4),"")</f>
        <v/>
      </c>
    </row>
    <row r="11">
      <c r="A11" s="6">
        <f>IF($G11="","",IFERROR(INDEX(CLIENTI!A$5:A$304,MATCH($G11,CLIENTI!$T$5:$T$304,0)),""))</f>
        <v/>
      </c>
      <c r="B11" s="7">
        <f>IF($G11="","",IFERROR(INDEX(CLIENTI!B$5:B$304,MATCH($G11,CLIENTI!$T$5:$T$304,0)),""))</f>
        <v/>
      </c>
      <c r="C11" s="8">
        <f>IF($G11="","",IFERROR(INDEX(CLIENTI!C$5:C$304,MATCH($G11,CLIENTI!$T$5:$T$304,0)),""))</f>
        <v/>
      </c>
      <c r="D11" s="6">
        <f>IF($G11="","",IFERROR(INDEX(CLIENTI!D$5:D$304,MATCH($G11,CLIENTI!$T$5:$T$304,0)),""))</f>
        <v/>
      </c>
      <c r="E11" s="6">
        <f>IF($G11="","",IFERROR(INDEX(CLIENTI!E$5:E$304,MATCH($G11,CLIENTI!$T$5:$T$304,0)),""))</f>
        <v/>
      </c>
      <c r="F11" s="6">
        <f>IF($G11="","",IFERROR(INDEX(CLIENTI!F$5:F$304,MATCH($G11,CLIENTI!$T$5:$T$304,0)),""))</f>
        <v/>
      </c>
      <c r="G11" s="4">
        <f>IFERROR(SMALL(CLIENTI!$T$5:$T$304,ROW()-4),"")</f>
        <v/>
      </c>
    </row>
    <row r="12">
      <c r="A12" s="6">
        <f>IF($G12="","",IFERROR(INDEX(CLIENTI!A$5:A$304,MATCH($G12,CLIENTI!$T$5:$T$304,0)),""))</f>
        <v/>
      </c>
      <c r="B12" s="7">
        <f>IF($G12="","",IFERROR(INDEX(CLIENTI!B$5:B$304,MATCH($G12,CLIENTI!$T$5:$T$304,0)),""))</f>
        <v/>
      </c>
      <c r="C12" s="8">
        <f>IF($G12="","",IFERROR(INDEX(CLIENTI!C$5:C$304,MATCH($G12,CLIENTI!$T$5:$T$304,0)),""))</f>
        <v/>
      </c>
      <c r="D12" s="6">
        <f>IF($G12="","",IFERROR(INDEX(CLIENTI!D$5:D$304,MATCH($G12,CLIENTI!$T$5:$T$304,0)),""))</f>
        <v/>
      </c>
      <c r="E12" s="6">
        <f>IF($G12="","",IFERROR(INDEX(CLIENTI!E$5:E$304,MATCH($G12,CLIENTI!$T$5:$T$304,0)),""))</f>
        <v/>
      </c>
      <c r="F12" s="6">
        <f>IF($G12="","",IFERROR(INDEX(CLIENTI!F$5:F$304,MATCH($G12,CLIENTI!$T$5:$T$304,0)),""))</f>
        <v/>
      </c>
      <c r="G12" s="4">
        <f>IFERROR(SMALL(CLIENTI!$T$5:$T$304,ROW()-4),"")</f>
        <v/>
      </c>
    </row>
    <row r="13">
      <c r="A13" s="6">
        <f>IF($G13="","",IFERROR(INDEX(CLIENTI!A$5:A$304,MATCH($G13,CLIENTI!$T$5:$T$304,0)),""))</f>
        <v/>
      </c>
      <c r="B13" s="7">
        <f>IF($G13="","",IFERROR(INDEX(CLIENTI!B$5:B$304,MATCH($G13,CLIENTI!$T$5:$T$304,0)),""))</f>
        <v/>
      </c>
      <c r="C13" s="8">
        <f>IF($G13="","",IFERROR(INDEX(CLIENTI!C$5:C$304,MATCH($G13,CLIENTI!$T$5:$T$304,0)),""))</f>
        <v/>
      </c>
      <c r="D13" s="6">
        <f>IF($G13="","",IFERROR(INDEX(CLIENTI!D$5:D$304,MATCH($G13,CLIENTI!$T$5:$T$304,0)),""))</f>
        <v/>
      </c>
      <c r="E13" s="6">
        <f>IF($G13="","",IFERROR(INDEX(CLIENTI!E$5:E$304,MATCH($G13,CLIENTI!$T$5:$T$304,0)),""))</f>
        <v/>
      </c>
      <c r="F13" s="6">
        <f>IF($G13="","",IFERROR(INDEX(CLIENTI!F$5:F$304,MATCH($G13,CLIENTI!$T$5:$T$304,0)),""))</f>
        <v/>
      </c>
      <c r="G13" s="4">
        <f>IFERROR(SMALL(CLIENTI!$T$5:$T$304,ROW()-4),"")</f>
        <v/>
      </c>
    </row>
    <row r="14">
      <c r="A14" s="6">
        <f>IF($G14="","",IFERROR(INDEX(CLIENTI!A$5:A$304,MATCH($G14,CLIENTI!$T$5:$T$304,0)),""))</f>
        <v/>
      </c>
      <c r="B14" s="7">
        <f>IF($G14="","",IFERROR(INDEX(CLIENTI!B$5:B$304,MATCH($G14,CLIENTI!$T$5:$T$304,0)),""))</f>
        <v/>
      </c>
      <c r="C14" s="8">
        <f>IF($G14="","",IFERROR(INDEX(CLIENTI!C$5:C$304,MATCH($G14,CLIENTI!$T$5:$T$304,0)),""))</f>
        <v/>
      </c>
      <c r="D14" s="6">
        <f>IF($G14="","",IFERROR(INDEX(CLIENTI!D$5:D$304,MATCH($G14,CLIENTI!$T$5:$T$304,0)),""))</f>
        <v/>
      </c>
      <c r="E14" s="6">
        <f>IF($G14="","",IFERROR(INDEX(CLIENTI!E$5:E$304,MATCH($G14,CLIENTI!$T$5:$T$304,0)),""))</f>
        <v/>
      </c>
      <c r="F14" s="6">
        <f>IF($G14="","",IFERROR(INDEX(CLIENTI!F$5:F$304,MATCH($G14,CLIENTI!$T$5:$T$304,0)),""))</f>
        <v/>
      </c>
      <c r="G14" s="4">
        <f>IFERROR(SMALL(CLIENTI!$T$5:$T$304,ROW()-4),"")</f>
        <v/>
      </c>
    </row>
    <row r="15">
      <c r="A15" s="6">
        <f>IF($G15="","",IFERROR(INDEX(CLIENTI!A$5:A$304,MATCH($G15,CLIENTI!$T$5:$T$304,0)),""))</f>
        <v/>
      </c>
      <c r="B15" s="7">
        <f>IF($G15="","",IFERROR(INDEX(CLIENTI!B$5:B$304,MATCH($G15,CLIENTI!$T$5:$T$304,0)),""))</f>
        <v/>
      </c>
      <c r="C15" s="8">
        <f>IF($G15="","",IFERROR(INDEX(CLIENTI!C$5:C$304,MATCH($G15,CLIENTI!$T$5:$T$304,0)),""))</f>
        <v/>
      </c>
      <c r="D15" s="6">
        <f>IF($G15="","",IFERROR(INDEX(CLIENTI!D$5:D$304,MATCH($G15,CLIENTI!$T$5:$T$304,0)),""))</f>
        <v/>
      </c>
      <c r="E15" s="6">
        <f>IF($G15="","",IFERROR(INDEX(CLIENTI!E$5:E$304,MATCH($G15,CLIENTI!$T$5:$T$304,0)),""))</f>
        <v/>
      </c>
      <c r="F15" s="6">
        <f>IF($G15="","",IFERROR(INDEX(CLIENTI!F$5:F$304,MATCH($G15,CLIENTI!$T$5:$T$304,0)),""))</f>
        <v/>
      </c>
      <c r="G15" s="4">
        <f>IFERROR(SMALL(CLIENTI!$T$5:$T$304,ROW()-4),"")</f>
        <v/>
      </c>
    </row>
    <row r="16">
      <c r="A16" s="6">
        <f>IF($G16="","",IFERROR(INDEX(CLIENTI!A$5:A$304,MATCH($G16,CLIENTI!$T$5:$T$304,0)),""))</f>
        <v/>
      </c>
      <c r="B16" s="7">
        <f>IF($G16="","",IFERROR(INDEX(CLIENTI!B$5:B$304,MATCH($G16,CLIENTI!$T$5:$T$304,0)),""))</f>
        <v/>
      </c>
      <c r="C16" s="8">
        <f>IF($G16="","",IFERROR(INDEX(CLIENTI!C$5:C$304,MATCH($G16,CLIENTI!$T$5:$T$304,0)),""))</f>
        <v/>
      </c>
      <c r="D16" s="6">
        <f>IF($G16="","",IFERROR(INDEX(CLIENTI!D$5:D$304,MATCH($G16,CLIENTI!$T$5:$T$304,0)),""))</f>
        <v/>
      </c>
      <c r="E16" s="6">
        <f>IF($G16="","",IFERROR(INDEX(CLIENTI!E$5:E$304,MATCH($G16,CLIENTI!$T$5:$T$304,0)),""))</f>
        <v/>
      </c>
      <c r="F16" s="6">
        <f>IF($G16="","",IFERROR(INDEX(CLIENTI!F$5:F$304,MATCH($G16,CLIENTI!$T$5:$T$304,0)),""))</f>
        <v/>
      </c>
      <c r="G16" s="4">
        <f>IFERROR(SMALL(CLIENTI!$T$5:$T$304,ROW()-4),"")</f>
        <v/>
      </c>
    </row>
    <row r="17">
      <c r="A17" s="6">
        <f>IF($G17="","",IFERROR(INDEX(CLIENTI!A$5:A$304,MATCH($G17,CLIENTI!$T$5:$T$304,0)),""))</f>
        <v/>
      </c>
      <c r="B17" s="7">
        <f>IF($G17="","",IFERROR(INDEX(CLIENTI!B$5:B$304,MATCH($G17,CLIENTI!$T$5:$T$304,0)),""))</f>
        <v/>
      </c>
      <c r="C17" s="8">
        <f>IF($G17="","",IFERROR(INDEX(CLIENTI!C$5:C$304,MATCH($G17,CLIENTI!$T$5:$T$304,0)),""))</f>
        <v/>
      </c>
      <c r="D17" s="6">
        <f>IF($G17="","",IFERROR(INDEX(CLIENTI!D$5:D$304,MATCH($G17,CLIENTI!$T$5:$T$304,0)),""))</f>
        <v/>
      </c>
      <c r="E17" s="6">
        <f>IF($G17="","",IFERROR(INDEX(CLIENTI!E$5:E$304,MATCH($G17,CLIENTI!$T$5:$T$304,0)),""))</f>
        <v/>
      </c>
      <c r="F17" s="6">
        <f>IF($G17="","",IFERROR(INDEX(CLIENTI!F$5:F$304,MATCH($G17,CLIENTI!$T$5:$T$304,0)),""))</f>
        <v/>
      </c>
      <c r="G17" s="4">
        <f>IFERROR(SMALL(CLIENTI!$T$5:$T$304,ROW()-4),"")</f>
        <v/>
      </c>
    </row>
    <row r="18">
      <c r="A18" s="6">
        <f>IF($G18="","",IFERROR(INDEX(CLIENTI!A$5:A$304,MATCH($G18,CLIENTI!$T$5:$T$304,0)),""))</f>
        <v/>
      </c>
      <c r="B18" s="7">
        <f>IF($G18="","",IFERROR(INDEX(CLIENTI!B$5:B$304,MATCH($G18,CLIENTI!$T$5:$T$304,0)),""))</f>
        <v/>
      </c>
      <c r="C18" s="8">
        <f>IF($G18="","",IFERROR(INDEX(CLIENTI!C$5:C$304,MATCH($G18,CLIENTI!$T$5:$T$304,0)),""))</f>
        <v/>
      </c>
      <c r="D18" s="6">
        <f>IF($G18="","",IFERROR(INDEX(CLIENTI!D$5:D$304,MATCH($G18,CLIENTI!$T$5:$T$304,0)),""))</f>
        <v/>
      </c>
      <c r="E18" s="6">
        <f>IF($G18="","",IFERROR(INDEX(CLIENTI!E$5:E$304,MATCH($G18,CLIENTI!$T$5:$T$304,0)),""))</f>
        <v/>
      </c>
      <c r="F18" s="6">
        <f>IF($G18="","",IFERROR(INDEX(CLIENTI!F$5:F$304,MATCH($G18,CLIENTI!$T$5:$T$304,0)),""))</f>
        <v/>
      </c>
      <c r="G18" s="4">
        <f>IFERROR(SMALL(CLIENTI!$T$5:$T$304,ROW()-4),"")</f>
        <v/>
      </c>
    </row>
    <row r="19">
      <c r="A19" s="6">
        <f>IF($G19="","",IFERROR(INDEX(CLIENTI!A$5:A$304,MATCH($G19,CLIENTI!$T$5:$T$304,0)),""))</f>
        <v/>
      </c>
      <c r="B19" s="7">
        <f>IF($G19="","",IFERROR(INDEX(CLIENTI!B$5:B$304,MATCH($G19,CLIENTI!$T$5:$T$304,0)),""))</f>
        <v/>
      </c>
      <c r="C19" s="8">
        <f>IF($G19="","",IFERROR(INDEX(CLIENTI!C$5:C$304,MATCH($G19,CLIENTI!$T$5:$T$304,0)),""))</f>
        <v/>
      </c>
      <c r="D19" s="6">
        <f>IF($G19="","",IFERROR(INDEX(CLIENTI!D$5:D$304,MATCH($G19,CLIENTI!$T$5:$T$304,0)),""))</f>
        <v/>
      </c>
      <c r="E19" s="6">
        <f>IF($G19="","",IFERROR(INDEX(CLIENTI!E$5:E$304,MATCH($G19,CLIENTI!$T$5:$T$304,0)),""))</f>
        <v/>
      </c>
      <c r="F19" s="6">
        <f>IF($G19="","",IFERROR(INDEX(CLIENTI!F$5:F$304,MATCH($G19,CLIENTI!$T$5:$T$304,0)),""))</f>
        <v/>
      </c>
      <c r="G19" s="4">
        <f>IFERROR(SMALL(CLIENTI!$T$5:$T$304,ROW()-4),"")</f>
        <v/>
      </c>
    </row>
    <row r="20">
      <c r="A20" s="6">
        <f>IF($G20="","",IFERROR(INDEX(CLIENTI!A$5:A$304,MATCH($G20,CLIENTI!$T$5:$T$304,0)),""))</f>
        <v/>
      </c>
      <c r="B20" s="7">
        <f>IF($G20="","",IFERROR(INDEX(CLIENTI!B$5:B$304,MATCH($G20,CLIENTI!$T$5:$T$304,0)),""))</f>
        <v/>
      </c>
      <c r="C20" s="8">
        <f>IF($G20="","",IFERROR(INDEX(CLIENTI!C$5:C$304,MATCH($G20,CLIENTI!$T$5:$T$304,0)),""))</f>
        <v/>
      </c>
      <c r="D20" s="6">
        <f>IF($G20="","",IFERROR(INDEX(CLIENTI!D$5:D$304,MATCH($G20,CLIENTI!$T$5:$T$304,0)),""))</f>
        <v/>
      </c>
      <c r="E20" s="6">
        <f>IF($G20="","",IFERROR(INDEX(CLIENTI!E$5:E$304,MATCH($G20,CLIENTI!$T$5:$T$304,0)),""))</f>
        <v/>
      </c>
      <c r="F20" s="6">
        <f>IF($G20="","",IFERROR(INDEX(CLIENTI!F$5:F$304,MATCH($G20,CLIENTI!$T$5:$T$304,0)),""))</f>
        <v/>
      </c>
      <c r="G20" s="4">
        <f>IFERROR(SMALL(CLIENTI!$T$5:$T$304,ROW()-4),"")</f>
        <v/>
      </c>
    </row>
    <row r="21">
      <c r="A21" s="6">
        <f>IF($G21="","",IFERROR(INDEX(CLIENTI!A$5:A$304,MATCH($G21,CLIENTI!$T$5:$T$304,0)),""))</f>
        <v/>
      </c>
      <c r="B21" s="7">
        <f>IF($G21="","",IFERROR(INDEX(CLIENTI!B$5:B$304,MATCH($G21,CLIENTI!$T$5:$T$304,0)),""))</f>
        <v/>
      </c>
      <c r="C21" s="8">
        <f>IF($G21="","",IFERROR(INDEX(CLIENTI!C$5:C$304,MATCH($G21,CLIENTI!$T$5:$T$304,0)),""))</f>
        <v/>
      </c>
      <c r="D21" s="6">
        <f>IF($G21="","",IFERROR(INDEX(CLIENTI!D$5:D$304,MATCH($G21,CLIENTI!$T$5:$T$304,0)),""))</f>
        <v/>
      </c>
      <c r="E21" s="6">
        <f>IF($G21="","",IFERROR(INDEX(CLIENTI!E$5:E$304,MATCH($G21,CLIENTI!$T$5:$T$304,0)),""))</f>
        <v/>
      </c>
      <c r="F21" s="6">
        <f>IF($G21="","",IFERROR(INDEX(CLIENTI!F$5:F$304,MATCH($G21,CLIENTI!$T$5:$T$304,0)),""))</f>
        <v/>
      </c>
      <c r="G21" s="4">
        <f>IFERROR(SMALL(CLIENTI!$T$5:$T$304,ROW()-4),"")</f>
        <v/>
      </c>
    </row>
    <row r="22">
      <c r="A22" s="6">
        <f>IF($G22="","",IFERROR(INDEX(CLIENTI!A$5:A$304,MATCH($G22,CLIENTI!$T$5:$T$304,0)),""))</f>
        <v/>
      </c>
      <c r="B22" s="7">
        <f>IF($G22="","",IFERROR(INDEX(CLIENTI!B$5:B$304,MATCH($G22,CLIENTI!$T$5:$T$304,0)),""))</f>
        <v/>
      </c>
      <c r="C22" s="8">
        <f>IF($G22="","",IFERROR(INDEX(CLIENTI!C$5:C$304,MATCH($G22,CLIENTI!$T$5:$T$304,0)),""))</f>
        <v/>
      </c>
      <c r="D22" s="6">
        <f>IF($G22="","",IFERROR(INDEX(CLIENTI!D$5:D$304,MATCH($G22,CLIENTI!$T$5:$T$304,0)),""))</f>
        <v/>
      </c>
      <c r="E22" s="6">
        <f>IF($G22="","",IFERROR(INDEX(CLIENTI!E$5:E$304,MATCH($G22,CLIENTI!$T$5:$T$304,0)),""))</f>
        <v/>
      </c>
      <c r="F22" s="6">
        <f>IF($G22="","",IFERROR(INDEX(CLIENTI!F$5:F$304,MATCH($G22,CLIENTI!$T$5:$T$304,0)),""))</f>
        <v/>
      </c>
      <c r="G22" s="4">
        <f>IFERROR(SMALL(CLIENTI!$T$5:$T$304,ROW()-4),"")</f>
        <v/>
      </c>
    </row>
    <row r="23">
      <c r="A23" s="6">
        <f>IF($G23="","",IFERROR(INDEX(CLIENTI!A$5:A$304,MATCH($G23,CLIENTI!$T$5:$T$304,0)),""))</f>
        <v/>
      </c>
      <c r="B23" s="7">
        <f>IF($G23="","",IFERROR(INDEX(CLIENTI!B$5:B$304,MATCH($G23,CLIENTI!$T$5:$T$304,0)),""))</f>
        <v/>
      </c>
      <c r="C23" s="8">
        <f>IF($G23="","",IFERROR(INDEX(CLIENTI!C$5:C$304,MATCH($G23,CLIENTI!$T$5:$T$304,0)),""))</f>
        <v/>
      </c>
      <c r="D23" s="6">
        <f>IF($G23="","",IFERROR(INDEX(CLIENTI!D$5:D$304,MATCH($G23,CLIENTI!$T$5:$T$304,0)),""))</f>
        <v/>
      </c>
      <c r="E23" s="6">
        <f>IF($G23="","",IFERROR(INDEX(CLIENTI!E$5:E$304,MATCH($G23,CLIENTI!$T$5:$T$304,0)),""))</f>
        <v/>
      </c>
      <c r="F23" s="6">
        <f>IF($G23="","",IFERROR(INDEX(CLIENTI!F$5:F$304,MATCH($G23,CLIENTI!$T$5:$T$304,0)),""))</f>
        <v/>
      </c>
      <c r="G23" s="4">
        <f>IFERROR(SMALL(CLIENTI!$T$5:$T$304,ROW()-4),"")</f>
        <v/>
      </c>
    </row>
    <row r="24">
      <c r="A24" s="6">
        <f>IF($G24="","",IFERROR(INDEX(CLIENTI!A$5:A$304,MATCH($G24,CLIENTI!$T$5:$T$304,0)),""))</f>
        <v/>
      </c>
      <c r="B24" s="7">
        <f>IF($G24="","",IFERROR(INDEX(CLIENTI!B$5:B$304,MATCH($G24,CLIENTI!$T$5:$T$304,0)),""))</f>
        <v/>
      </c>
      <c r="C24" s="8">
        <f>IF($G24="","",IFERROR(INDEX(CLIENTI!C$5:C$304,MATCH($G24,CLIENTI!$T$5:$T$304,0)),""))</f>
        <v/>
      </c>
      <c r="D24" s="6">
        <f>IF($G24="","",IFERROR(INDEX(CLIENTI!D$5:D$304,MATCH($G24,CLIENTI!$T$5:$T$304,0)),""))</f>
        <v/>
      </c>
      <c r="E24" s="6">
        <f>IF($G24="","",IFERROR(INDEX(CLIENTI!E$5:E$304,MATCH($G24,CLIENTI!$T$5:$T$304,0)),""))</f>
        <v/>
      </c>
      <c r="F24" s="6">
        <f>IF($G24="","",IFERROR(INDEX(CLIENTI!F$5:F$304,MATCH($G24,CLIENTI!$T$5:$T$304,0)),""))</f>
        <v/>
      </c>
      <c r="G24" s="4">
        <f>IFERROR(SMALL(CLIENTI!$T$5:$T$304,ROW()-4),"")</f>
        <v/>
      </c>
    </row>
    <row r="25">
      <c r="A25" s="6">
        <f>IF($G25="","",IFERROR(INDEX(CLIENTI!A$5:A$304,MATCH($G25,CLIENTI!$T$5:$T$304,0)),""))</f>
        <v/>
      </c>
      <c r="B25" s="7">
        <f>IF($G25="","",IFERROR(INDEX(CLIENTI!B$5:B$304,MATCH($G25,CLIENTI!$T$5:$T$304,0)),""))</f>
        <v/>
      </c>
      <c r="C25" s="8">
        <f>IF($G25="","",IFERROR(INDEX(CLIENTI!C$5:C$304,MATCH($G25,CLIENTI!$T$5:$T$304,0)),""))</f>
        <v/>
      </c>
      <c r="D25" s="6">
        <f>IF($G25="","",IFERROR(INDEX(CLIENTI!D$5:D$304,MATCH($G25,CLIENTI!$T$5:$T$304,0)),""))</f>
        <v/>
      </c>
      <c r="E25" s="6">
        <f>IF($G25="","",IFERROR(INDEX(CLIENTI!E$5:E$304,MATCH($G25,CLIENTI!$T$5:$T$304,0)),""))</f>
        <v/>
      </c>
      <c r="F25" s="6">
        <f>IF($G25="","",IFERROR(INDEX(CLIENTI!F$5:F$304,MATCH($G25,CLIENTI!$T$5:$T$304,0)),""))</f>
        <v/>
      </c>
      <c r="G25" s="4">
        <f>IFERROR(SMALL(CLIENTI!$T$5:$T$304,ROW()-4),"")</f>
        <v/>
      </c>
    </row>
    <row r="26">
      <c r="A26" s="6">
        <f>IF($G26="","",IFERROR(INDEX(CLIENTI!A$5:A$304,MATCH($G26,CLIENTI!$T$5:$T$304,0)),""))</f>
        <v/>
      </c>
      <c r="B26" s="7">
        <f>IF($G26="","",IFERROR(INDEX(CLIENTI!B$5:B$304,MATCH($G26,CLIENTI!$T$5:$T$304,0)),""))</f>
        <v/>
      </c>
      <c r="C26" s="8">
        <f>IF($G26="","",IFERROR(INDEX(CLIENTI!C$5:C$304,MATCH($G26,CLIENTI!$T$5:$T$304,0)),""))</f>
        <v/>
      </c>
      <c r="D26" s="6">
        <f>IF($G26="","",IFERROR(INDEX(CLIENTI!D$5:D$304,MATCH($G26,CLIENTI!$T$5:$T$304,0)),""))</f>
        <v/>
      </c>
      <c r="E26" s="6">
        <f>IF($G26="","",IFERROR(INDEX(CLIENTI!E$5:E$304,MATCH($G26,CLIENTI!$T$5:$T$304,0)),""))</f>
        <v/>
      </c>
      <c r="F26" s="6">
        <f>IF($G26="","",IFERROR(INDEX(CLIENTI!F$5:F$304,MATCH($G26,CLIENTI!$T$5:$T$304,0)),""))</f>
        <v/>
      </c>
      <c r="G26" s="4">
        <f>IFERROR(SMALL(CLIENTI!$T$5:$T$304,ROW()-4),"")</f>
        <v/>
      </c>
    </row>
    <row r="27">
      <c r="A27" s="6">
        <f>IF($G27="","",IFERROR(INDEX(CLIENTI!A$5:A$304,MATCH($G27,CLIENTI!$T$5:$T$304,0)),""))</f>
        <v/>
      </c>
      <c r="B27" s="7">
        <f>IF($G27="","",IFERROR(INDEX(CLIENTI!B$5:B$304,MATCH($G27,CLIENTI!$T$5:$T$304,0)),""))</f>
        <v/>
      </c>
      <c r="C27" s="8">
        <f>IF($G27="","",IFERROR(INDEX(CLIENTI!C$5:C$304,MATCH($G27,CLIENTI!$T$5:$T$304,0)),""))</f>
        <v/>
      </c>
      <c r="D27" s="6">
        <f>IF($G27="","",IFERROR(INDEX(CLIENTI!D$5:D$304,MATCH($G27,CLIENTI!$T$5:$T$304,0)),""))</f>
        <v/>
      </c>
      <c r="E27" s="6">
        <f>IF($G27="","",IFERROR(INDEX(CLIENTI!E$5:E$304,MATCH($G27,CLIENTI!$T$5:$T$304,0)),""))</f>
        <v/>
      </c>
      <c r="F27" s="6">
        <f>IF($G27="","",IFERROR(INDEX(CLIENTI!F$5:F$304,MATCH($G27,CLIENTI!$T$5:$T$304,0)),""))</f>
        <v/>
      </c>
      <c r="G27" s="4">
        <f>IFERROR(SMALL(CLIENTI!$T$5:$T$304,ROW()-4),"")</f>
        <v/>
      </c>
    </row>
    <row r="28">
      <c r="A28" s="6">
        <f>IF($G28="","",IFERROR(INDEX(CLIENTI!A$5:A$304,MATCH($G28,CLIENTI!$T$5:$T$304,0)),""))</f>
        <v/>
      </c>
      <c r="B28" s="7">
        <f>IF($G28="","",IFERROR(INDEX(CLIENTI!B$5:B$304,MATCH($G28,CLIENTI!$T$5:$T$304,0)),""))</f>
        <v/>
      </c>
      <c r="C28" s="8">
        <f>IF($G28="","",IFERROR(INDEX(CLIENTI!C$5:C$304,MATCH($G28,CLIENTI!$T$5:$T$304,0)),""))</f>
        <v/>
      </c>
      <c r="D28" s="6">
        <f>IF($G28="","",IFERROR(INDEX(CLIENTI!D$5:D$304,MATCH($G28,CLIENTI!$T$5:$T$304,0)),""))</f>
        <v/>
      </c>
      <c r="E28" s="6">
        <f>IF($G28="","",IFERROR(INDEX(CLIENTI!E$5:E$304,MATCH($G28,CLIENTI!$T$5:$T$304,0)),""))</f>
        <v/>
      </c>
      <c r="F28" s="6">
        <f>IF($G28="","",IFERROR(INDEX(CLIENTI!F$5:F$304,MATCH($G28,CLIENTI!$T$5:$T$304,0)),""))</f>
        <v/>
      </c>
      <c r="G28" s="4">
        <f>IFERROR(SMALL(CLIENTI!$T$5:$T$304,ROW()-4),"")</f>
        <v/>
      </c>
    </row>
    <row r="29">
      <c r="A29" s="6">
        <f>IF($G29="","",IFERROR(INDEX(CLIENTI!A$5:A$304,MATCH($G29,CLIENTI!$T$5:$T$304,0)),""))</f>
        <v/>
      </c>
      <c r="B29" s="7">
        <f>IF($G29="","",IFERROR(INDEX(CLIENTI!B$5:B$304,MATCH($G29,CLIENTI!$T$5:$T$304,0)),""))</f>
        <v/>
      </c>
      <c r="C29" s="8">
        <f>IF($G29="","",IFERROR(INDEX(CLIENTI!C$5:C$304,MATCH($G29,CLIENTI!$T$5:$T$304,0)),""))</f>
        <v/>
      </c>
      <c r="D29" s="6">
        <f>IF($G29="","",IFERROR(INDEX(CLIENTI!D$5:D$304,MATCH($G29,CLIENTI!$T$5:$T$304,0)),""))</f>
        <v/>
      </c>
      <c r="E29" s="6">
        <f>IF($G29="","",IFERROR(INDEX(CLIENTI!E$5:E$304,MATCH($G29,CLIENTI!$T$5:$T$304,0)),""))</f>
        <v/>
      </c>
      <c r="F29" s="6">
        <f>IF($G29="","",IFERROR(INDEX(CLIENTI!F$5:F$304,MATCH($G29,CLIENTI!$T$5:$T$304,0)),""))</f>
        <v/>
      </c>
      <c r="G29" s="4">
        <f>IFERROR(SMALL(CLIENTI!$T$5:$T$304,ROW()-4),"")</f>
        <v/>
      </c>
    </row>
    <row r="30">
      <c r="A30" s="6">
        <f>IF($G30="","",IFERROR(INDEX(CLIENTI!A$5:A$304,MATCH($G30,CLIENTI!$T$5:$T$304,0)),""))</f>
        <v/>
      </c>
      <c r="B30" s="7">
        <f>IF($G30="","",IFERROR(INDEX(CLIENTI!B$5:B$304,MATCH($G30,CLIENTI!$T$5:$T$304,0)),""))</f>
        <v/>
      </c>
      <c r="C30" s="8">
        <f>IF($G30="","",IFERROR(INDEX(CLIENTI!C$5:C$304,MATCH($G30,CLIENTI!$T$5:$T$304,0)),""))</f>
        <v/>
      </c>
      <c r="D30" s="6">
        <f>IF($G30="","",IFERROR(INDEX(CLIENTI!D$5:D$304,MATCH($G30,CLIENTI!$T$5:$T$304,0)),""))</f>
        <v/>
      </c>
      <c r="E30" s="6">
        <f>IF($G30="","",IFERROR(INDEX(CLIENTI!E$5:E$304,MATCH($G30,CLIENTI!$T$5:$T$304,0)),""))</f>
        <v/>
      </c>
      <c r="F30" s="6">
        <f>IF($G30="","",IFERROR(INDEX(CLIENTI!F$5:F$304,MATCH($G30,CLIENTI!$T$5:$T$304,0)),""))</f>
        <v/>
      </c>
      <c r="G30" s="4">
        <f>IFERROR(SMALL(CLIENTI!$T$5:$T$304,ROW()-4),"")</f>
        <v/>
      </c>
    </row>
    <row r="31">
      <c r="A31" s="6">
        <f>IF($G31="","",IFERROR(INDEX(CLIENTI!A$5:A$304,MATCH($G31,CLIENTI!$T$5:$T$304,0)),""))</f>
        <v/>
      </c>
      <c r="B31" s="7">
        <f>IF($G31="","",IFERROR(INDEX(CLIENTI!B$5:B$304,MATCH($G31,CLIENTI!$T$5:$T$304,0)),""))</f>
        <v/>
      </c>
      <c r="C31" s="8">
        <f>IF($G31="","",IFERROR(INDEX(CLIENTI!C$5:C$304,MATCH($G31,CLIENTI!$T$5:$T$304,0)),""))</f>
        <v/>
      </c>
      <c r="D31" s="6">
        <f>IF($G31="","",IFERROR(INDEX(CLIENTI!D$5:D$304,MATCH($G31,CLIENTI!$T$5:$T$304,0)),""))</f>
        <v/>
      </c>
      <c r="E31" s="6">
        <f>IF($G31="","",IFERROR(INDEX(CLIENTI!E$5:E$304,MATCH($G31,CLIENTI!$T$5:$T$304,0)),""))</f>
        <v/>
      </c>
      <c r="F31" s="6">
        <f>IF($G31="","",IFERROR(INDEX(CLIENTI!F$5:F$304,MATCH($G31,CLIENTI!$T$5:$T$304,0)),""))</f>
        <v/>
      </c>
      <c r="G31" s="4">
        <f>IFERROR(SMALL(CLIENTI!$T$5:$T$304,ROW()-4),"")</f>
        <v/>
      </c>
    </row>
    <row r="32">
      <c r="A32" s="6">
        <f>IF($G32="","",IFERROR(INDEX(CLIENTI!A$5:A$304,MATCH($G32,CLIENTI!$T$5:$T$304,0)),""))</f>
        <v/>
      </c>
      <c r="B32" s="7">
        <f>IF($G32="","",IFERROR(INDEX(CLIENTI!B$5:B$304,MATCH($G32,CLIENTI!$T$5:$T$304,0)),""))</f>
        <v/>
      </c>
      <c r="C32" s="8">
        <f>IF($G32="","",IFERROR(INDEX(CLIENTI!C$5:C$304,MATCH($G32,CLIENTI!$T$5:$T$304,0)),""))</f>
        <v/>
      </c>
      <c r="D32" s="6">
        <f>IF($G32="","",IFERROR(INDEX(CLIENTI!D$5:D$304,MATCH($G32,CLIENTI!$T$5:$T$304,0)),""))</f>
        <v/>
      </c>
      <c r="E32" s="6">
        <f>IF($G32="","",IFERROR(INDEX(CLIENTI!E$5:E$304,MATCH($G32,CLIENTI!$T$5:$T$304,0)),""))</f>
        <v/>
      </c>
      <c r="F32" s="6">
        <f>IF($G32="","",IFERROR(INDEX(CLIENTI!F$5:F$304,MATCH($G32,CLIENTI!$T$5:$T$304,0)),""))</f>
        <v/>
      </c>
      <c r="G32" s="4">
        <f>IFERROR(SMALL(CLIENTI!$T$5:$T$304,ROW()-4),"")</f>
        <v/>
      </c>
    </row>
    <row r="33">
      <c r="A33" s="6">
        <f>IF($G33="","",IFERROR(INDEX(CLIENTI!A$5:A$304,MATCH($G33,CLIENTI!$T$5:$T$304,0)),""))</f>
        <v/>
      </c>
      <c r="B33" s="7">
        <f>IF($G33="","",IFERROR(INDEX(CLIENTI!B$5:B$304,MATCH($G33,CLIENTI!$T$5:$T$304,0)),""))</f>
        <v/>
      </c>
      <c r="C33" s="8">
        <f>IF($G33="","",IFERROR(INDEX(CLIENTI!C$5:C$304,MATCH($G33,CLIENTI!$T$5:$T$304,0)),""))</f>
        <v/>
      </c>
      <c r="D33" s="6">
        <f>IF($G33="","",IFERROR(INDEX(CLIENTI!D$5:D$304,MATCH($G33,CLIENTI!$T$5:$T$304,0)),""))</f>
        <v/>
      </c>
      <c r="E33" s="6">
        <f>IF($G33="","",IFERROR(INDEX(CLIENTI!E$5:E$304,MATCH($G33,CLIENTI!$T$5:$T$304,0)),""))</f>
        <v/>
      </c>
      <c r="F33" s="6">
        <f>IF($G33="","",IFERROR(INDEX(CLIENTI!F$5:F$304,MATCH($G33,CLIENTI!$T$5:$T$304,0)),""))</f>
        <v/>
      </c>
      <c r="G33" s="4">
        <f>IFERROR(SMALL(CLIENTI!$T$5:$T$304,ROW()-4),"")</f>
        <v/>
      </c>
    </row>
    <row r="34">
      <c r="A34" s="6">
        <f>IF($G34="","",IFERROR(INDEX(CLIENTI!A$5:A$304,MATCH($G34,CLIENTI!$T$5:$T$304,0)),""))</f>
        <v/>
      </c>
      <c r="B34" s="7">
        <f>IF($G34="","",IFERROR(INDEX(CLIENTI!B$5:B$304,MATCH($G34,CLIENTI!$T$5:$T$304,0)),""))</f>
        <v/>
      </c>
      <c r="C34" s="8">
        <f>IF($G34="","",IFERROR(INDEX(CLIENTI!C$5:C$304,MATCH($G34,CLIENTI!$T$5:$T$304,0)),""))</f>
        <v/>
      </c>
      <c r="D34" s="6">
        <f>IF($G34="","",IFERROR(INDEX(CLIENTI!D$5:D$304,MATCH($G34,CLIENTI!$T$5:$T$304,0)),""))</f>
        <v/>
      </c>
      <c r="E34" s="6">
        <f>IF($G34="","",IFERROR(INDEX(CLIENTI!E$5:E$304,MATCH($G34,CLIENTI!$T$5:$T$304,0)),""))</f>
        <v/>
      </c>
      <c r="F34" s="6">
        <f>IF($G34="","",IFERROR(INDEX(CLIENTI!F$5:F$304,MATCH($G34,CLIENTI!$T$5:$T$304,0)),""))</f>
        <v/>
      </c>
      <c r="G34" s="4">
        <f>IFERROR(SMALL(CLIENTI!$T$5:$T$304,ROW()-4),"")</f>
        <v/>
      </c>
    </row>
    <row r="36">
      <c r="A36" s="9" t="inlineStr">
        <is>
          <t>Se qui non c'è nessuno, oggi non deve chiamare nessuno.</t>
        </is>
      </c>
    </row>
  </sheetData>
  <mergeCells count="1">
    <mergeCell ref="B3:F3"/>
  </mergeCells>
  <conditionalFormatting sqref="A5:F34">
    <cfRule type="expression" priority="1" dxfId="0">
      <formula>OR(LEFT($B5,1)="1",LEFT($B5,1)="2",LEFT($B5,1)="3")</formula>
    </cfRule>
    <cfRule type="expression" priority="2" dxfId="1">
      <formula>OR(LEFT($B5,1)="4",LEFT($B5,1)="5")</formula>
    </cfRule>
    <cfRule type="expression" priority="3" dxfId="2">
      <formula>OR(LEFT($B5,1)="6",LEFT($B5,1)="7",LEFT($B5,1)="8")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T3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15" customWidth="1" min="3" max="3"/>
    <col width="10" customWidth="1" min="4" max="4"/>
    <col width="15" customWidth="1" min="5" max="5"/>
    <col width="34" customWidth="1" min="6" max="6"/>
    <col width="14" customWidth="1" min="7" max="7"/>
    <col width="14" customWidth="1" min="8" max="8"/>
    <col width="13" customWidth="1" min="9" max="9"/>
    <col width="11" customWidth="1" min="10" max="10"/>
    <col width="11" customWidth="1" min="11" max="11"/>
    <col width="8" customWidth="1" min="12" max="12"/>
    <col width="20" customWidth="1" min="13" max="13"/>
    <col width="12" customWidth="1" min="14" max="14"/>
    <col width="13" customWidth="1" min="15" max="15"/>
    <col width="13" customWidth="1" min="16" max="16"/>
    <col width="12" customWidth="1" min="17" max="17"/>
    <col width="30" customWidth="1" min="18" max="18"/>
    <col hidden="1" width="22" customWidth="1" min="19" max="19"/>
    <col hidden="1" width="14" customWidth="1" min="20" max="20"/>
  </cols>
  <sheetData>
    <row r="2">
      <c r="B2" s="1" t="inlineStr">
        <is>
          <t>CLIENTI — la rubrica</t>
        </is>
      </c>
    </row>
    <row r="3">
      <c r="B3" s="2" t="inlineStr">
        <is>
          <t>Giallo = lo scrivi tu · Grigio = si calcola da solo</t>
        </is>
      </c>
    </row>
    <row r="4" ht="30" customHeight="1">
      <c r="A4" s="10" t="inlineStr">
        <is>
          <t>Nome</t>
        </is>
      </c>
      <c r="B4" s="10" t="inlineStr">
        <is>
          <t>COSA FARE OGGI</t>
        </is>
      </c>
      <c r="C4" s="10" t="inlineStr">
        <is>
          <t>Prossimo appuntamento</t>
        </is>
      </c>
      <c r="D4" s="10" t="inlineStr">
        <is>
          <t>Sedute fatte</t>
        </is>
      </c>
      <c r="E4" s="10" t="inlineStr">
        <is>
          <t>Stato</t>
        </is>
      </c>
      <c r="F4" s="10" t="inlineStr">
        <is>
          <t>Promemoria</t>
        </is>
      </c>
      <c r="G4" s="10" t="inlineStr">
        <is>
          <t>Telefono</t>
        </is>
      </c>
      <c r="H4" s="10" t="inlineStr">
        <is>
          <t>Zona</t>
        </is>
      </c>
      <c r="I4" s="10" t="inlineStr">
        <is>
          <t>Ultima seduta</t>
        </is>
      </c>
      <c r="J4" s="10" t="inlineStr">
        <is>
          <t>Giorni dall'ultima</t>
        </is>
      </c>
      <c r="K4" s="10" t="inlineStr">
        <is>
          <t>Giorni al prossimo</t>
        </is>
      </c>
      <c r="L4" s="10" t="inlineStr">
        <is>
          <t>Sedute</t>
        </is>
      </c>
      <c r="M4" s="10" t="inlineStr">
        <is>
          <t>Offerta da usare</t>
        </is>
      </c>
      <c r="N4" s="10" t="inlineStr">
        <is>
          <t>Prezzo a seduta €</t>
        </is>
      </c>
      <c r="O4" s="10" t="inlineStr">
        <is>
          <t>Valore lasciato €</t>
        </is>
      </c>
      <c r="P4" s="10" t="inlineStr">
        <is>
          <t>Ancora da fare €</t>
        </is>
      </c>
      <c r="Q4" s="10" t="inlineStr">
        <is>
          <t>Inserita il</t>
        </is>
      </c>
      <c r="R4" s="10" t="inlineStr">
        <is>
          <t>Note</t>
        </is>
      </c>
      <c r="S4" s="10" t="inlineStr">
        <is>
          <t>avviso (servizio)</t>
        </is>
      </c>
      <c r="T4" s="10" t="inlineStr">
        <is>
          <t>ordine (servizio)</t>
        </is>
      </c>
    </row>
    <row r="5">
      <c r="A5" s="11" t="inlineStr">
        <is>
          <t>Maria Rossi (esempio)</t>
        </is>
      </c>
      <c r="B5" s="12">
        <f>IF($S5="","",IFERROR(MATCH($S5,IMPOSTAZIONI!$F$5:$F$12,0),9)&amp;" · "&amp;$S5)</f>
        <v/>
      </c>
      <c r="C5" s="13" t="n">
        <v>46261</v>
      </c>
      <c r="D5" s="14" t="n">
        <v>7</v>
      </c>
      <c r="E5" s="11" t="inlineStr">
        <is>
          <t>In ciclo</t>
        </is>
      </c>
      <c r="F5" s="15">
        <f>IF($A5="","",IF(LEN(IF(AND($C5&lt;&gt;"",$C5=TODAY())," · oggi in centro","")&amp;IF(AND($C5&lt;&gt;"",$C5&gt;=TODAY(),N($D5)+1&gt;=IMPOSTAZIONI!$C$5)," · ultima del ciclo, proponi il mantenimento","")&amp;IF(AND($C5&lt;&gt;"",$C5&gt;=TODAY(),$I5&lt;&gt;"",$C5-$I5&lt;IMPOSTAZIONI!$C$6)," · rientro anticipato, meno di "&amp;IMPOSTAZIONI!$C$6&amp;" giorni","")&amp;IF(AND($C5&lt;&gt;"",$C5&gt;=TODAY(),$I5&lt;&gt;"",$C5-$I5&gt;IMPOSTAZIONI!$C$7)," · rientro oltre "&amp;IMPOSTAZIONI!$C$7&amp;" giorni",""))=0,"",MID(IF(AND($C5&lt;&gt;"",$C5=TODAY())," · oggi in centro","")&amp;IF(AND($C5&lt;&gt;"",$C5&gt;=TODAY(),N($D5)+1&gt;=IMPOSTAZIONI!$C$5)," · ultima del ciclo, proponi il mantenimento","")&amp;IF(AND($C5&lt;&gt;"",$C5&gt;=TODAY(),$I5&lt;&gt;"",$C5-$I5&lt;IMPOSTAZIONI!$C$6)," · rientro anticipato, meno di "&amp;IMPOSTAZIONI!$C$6&amp;" giorni","")&amp;IF(AND($C5&lt;&gt;"",$C5&gt;=TODAY(),$I5&lt;&gt;"",$C5-$I5&gt;IMPOSTAZIONI!$C$7)," · rientro oltre "&amp;IMPOSTAZIONI!$C$7&amp;" giorni",""),4,300)))</f>
        <v/>
      </c>
      <c r="G5" s="16" t="inlineStr">
        <is>
          <t>3391234567</t>
        </is>
      </c>
      <c r="H5" s="11" t="inlineStr">
        <is>
          <t>ascelle</t>
        </is>
      </c>
      <c r="I5" s="13" t="n">
        <v>46234</v>
      </c>
      <c r="J5" s="17">
        <f>IF($I5="","",TODAY()-$I5)</f>
        <v/>
      </c>
      <c r="K5" s="17">
        <f>IF($C5="","",$C5-TODAY())</f>
        <v/>
      </c>
      <c r="L5" s="15">
        <f>IF($A5="","",N($D5)&amp;"/"&amp;IMPOSTAZIONI!$C$5)</f>
        <v/>
      </c>
      <c r="M5" s="15">
        <f>IF($S5="","",IF($S5="RECUPERA CON INCENTIVO",INCENTIVI!$C$7,IF($S5="RICHIAMO MANTENIMENTO",INCENTIVI!$C$6,IF(OR($S5="FUORI FINESTRA",$S5="ULTIMA SEDUTA"),INCENTIVI!$C$5,""))))</f>
        <v/>
      </c>
      <c r="N5" s="18" t="n">
        <v>45</v>
      </c>
      <c r="O5" s="19">
        <f>IF($A5="","",N($D5)*N($N5))</f>
        <v/>
      </c>
      <c r="P5" s="19">
        <f>IF($A5="","",MAX(0,(IMPOSTAZIONI!$C$5-N($D5))*N($N5)))</f>
        <v/>
      </c>
      <c r="Q5" s="13" t="n">
        <v>46078</v>
      </c>
      <c r="R5" s="11" t="inlineStr">
        <is>
          <t>fototipo III · niente sole prima della seduta</t>
        </is>
      </c>
      <c r="S5" s="15">
        <f>IF($A5="","",IF(AND($C5&lt;&gt;"",$C5&lt;TODAY(),OR($I5="",$I5&lt;$C5)),"APPUNTAMENTO SALTATO",IF(AND($C5&lt;&gt;"",$C5-TODAY()=1),"CONFERMA DOMANI",IF(AND($C5&lt;&gt;"",$C5-TODAY()=IMPOSTAZIONI!$C$8),"CHIAMA PER CONFERMA",IF(AND($C5&lt;&gt;"",$C5&gt;=TODAY()),"",IF($E5="Sospesa","",IF($E5="Persa","RECUPERA CON INCENTIVO",IF(AND($I5&lt;&gt;"",TODAY()&gt;=EDATE($I5,IMPOSTAZIONI!$C$10)),"RECUPERA CON INCENTIVO",IF($E5="Mantenimento",IF(AND($I5&lt;&gt;"",TODAY()-$I5&gt;=IMPOSTAZIONI!$C$9),"RICHIAMO MANTENIMENTO",""),IF($E5="In ciclo",IF(N($D5)&gt;=IMPOSTAZIONI!$C$5,"ULTIMA SEDUTA",IF(AND($I5&lt;&gt;"",TODAY()-$I5&gt;IMPOSTAZIONI!$C$7),"FUORI FINESTRA","PRENDI APPUNTAMENTO")),IF($E5="Da contattare","PRENDI APPUNTAMENTO","")))))))))))</f>
        <v/>
      </c>
      <c r="T5" s="17">
        <f>IF($S5="","",IFERROR(MATCH($S5,IMPOSTAZIONI!$F$5:$F$12,0),9)*100000000+(9999-MIN(9999,ROUND(N($O5)/100,0)))*10000+ROW())</f>
        <v/>
      </c>
    </row>
    <row r="6">
      <c r="A6" s="11" t="n"/>
      <c r="B6" s="12">
        <f>IF($S6="","",IFERROR(MATCH($S6,IMPOSTAZIONI!$F$5:$F$12,0),9)&amp;" · "&amp;$S6)</f>
        <v/>
      </c>
      <c r="C6" s="13" t="n"/>
      <c r="D6" s="14" t="n"/>
      <c r="E6" s="11" t="n"/>
      <c r="F6" s="15">
        <f>IF($A6="","",IF(LEN(IF(AND($C6&lt;&gt;"",$C6=TODAY())," · oggi in centro","")&amp;IF(AND($C6&lt;&gt;"",$C6&gt;=TODAY(),N($D6)+1&gt;=IMPOSTAZIONI!$C$5)," · ultima del ciclo, proponi il mantenimento","")&amp;IF(AND($C6&lt;&gt;"",$C6&gt;=TODAY(),$I6&lt;&gt;"",$C6-$I6&lt;IMPOSTAZIONI!$C$6)," · rientro anticipato, meno di "&amp;IMPOSTAZIONI!$C$6&amp;" giorni","")&amp;IF(AND($C6&lt;&gt;"",$C6&gt;=TODAY(),$I6&lt;&gt;"",$C6-$I6&gt;IMPOSTAZIONI!$C$7)," · rientro oltre "&amp;IMPOSTAZIONI!$C$7&amp;" giorni",""))=0,"",MID(IF(AND($C6&lt;&gt;"",$C6=TODAY())," · oggi in centro","")&amp;IF(AND($C6&lt;&gt;"",$C6&gt;=TODAY(),N($D6)+1&gt;=IMPOSTAZIONI!$C$5)," · ultima del ciclo, proponi il mantenimento","")&amp;IF(AND($C6&lt;&gt;"",$C6&gt;=TODAY(),$I6&lt;&gt;"",$C6-$I6&lt;IMPOSTAZIONI!$C$6)," · rientro anticipato, meno di "&amp;IMPOSTAZIONI!$C$6&amp;" giorni","")&amp;IF(AND($C6&lt;&gt;"",$C6&gt;=TODAY(),$I6&lt;&gt;"",$C6-$I6&gt;IMPOSTAZIONI!$C$7)," · rientro oltre "&amp;IMPOSTAZIONI!$C$7&amp;" giorni",""),4,300)))</f>
        <v/>
      </c>
      <c r="G6" s="16" t="n"/>
      <c r="H6" s="11" t="n"/>
      <c r="I6" s="13" t="n"/>
      <c r="J6" s="17">
        <f>IF($I6="","",TODAY()-$I6)</f>
        <v/>
      </c>
      <c r="K6" s="17">
        <f>IF($C6="","",$C6-TODAY())</f>
        <v/>
      </c>
      <c r="L6" s="15">
        <f>IF($A6="","",N($D6)&amp;"/"&amp;IMPOSTAZIONI!$C$5)</f>
        <v/>
      </c>
      <c r="M6" s="15">
        <f>IF($S6="","",IF($S6="RECUPERA CON INCENTIVO",INCENTIVI!$C$7,IF($S6="RICHIAMO MANTENIMENTO",INCENTIVI!$C$6,IF(OR($S6="FUORI FINESTRA",$S6="ULTIMA SEDUTA"),INCENTIVI!$C$5,""))))</f>
        <v/>
      </c>
      <c r="N6" s="18" t="n"/>
      <c r="O6" s="19">
        <f>IF($A6="","",N($D6)*N($N6))</f>
        <v/>
      </c>
      <c r="P6" s="19">
        <f>IF($A6="","",MAX(0,(IMPOSTAZIONI!$C$5-N($D6))*N($N6)))</f>
        <v/>
      </c>
      <c r="Q6" s="13" t="n"/>
      <c r="R6" s="11" t="n"/>
      <c r="S6" s="15">
        <f>IF($A6="","",IF(AND($C6&lt;&gt;"",$C6&lt;TODAY(),OR($I6="",$I6&lt;$C6)),"APPUNTAMENTO SALTATO",IF(AND($C6&lt;&gt;"",$C6-TODAY()=1),"CONFERMA DOMANI",IF(AND($C6&lt;&gt;"",$C6-TODAY()=IMPOSTAZIONI!$C$8),"CHIAMA PER CONFERMA",IF(AND($C6&lt;&gt;"",$C6&gt;=TODAY()),"",IF($E6="Sospesa","",IF($E6="Persa","RECUPERA CON INCENTIVO",IF(AND($I6&lt;&gt;"",TODAY()&gt;=EDATE($I6,IMPOSTAZIONI!$C$10)),"RECUPERA CON INCENTIVO",IF($E6="Mantenimento",IF(AND($I6&lt;&gt;"",TODAY()-$I6&gt;=IMPOSTAZIONI!$C$9),"RICHIAMO MANTENIMENTO",""),IF($E6="In ciclo",IF(N($D6)&gt;=IMPOSTAZIONI!$C$5,"ULTIMA SEDUTA",IF(AND($I6&lt;&gt;"",TODAY()-$I6&gt;IMPOSTAZIONI!$C$7),"FUORI FINESTRA","PRENDI APPUNTAMENTO")),IF($E6="Da contattare","PRENDI APPUNTAMENTO","")))))))))))</f>
        <v/>
      </c>
      <c r="T6" s="17">
        <f>IF($S6="","",IFERROR(MATCH($S6,IMPOSTAZIONI!$F$5:$F$12,0),9)*100000000+(9999-MIN(9999,ROUND(N($O6)/100,0)))*10000+ROW())</f>
        <v/>
      </c>
    </row>
    <row r="7">
      <c r="A7" s="11" t="n"/>
      <c r="B7" s="12">
        <f>IF($S7="","",IFERROR(MATCH($S7,IMPOSTAZIONI!$F$5:$F$12,0),9)&amp;" · "&amp;$S7)</f>
        <v/>
      </c>
      <c r="C7" s="13" t="n"/>
      <c r="D7" s="14" t="n"/>
      <c r="E7" s="11" t="n"/>
      <c r="F7" s="15">
        <f>IF($A7="","",IF(LEN(IF(AND($C7&lt;&gt;"",$C7=TODAY())," · oggi in centro","")&amp;IF(AND($C7&lt;&gt;"",$C7&gt;=TODAY(),N($D7)+1&gt;=IMPOSTAZIONI!$C$5)," · ultima del ciclo, proponi il mantenimento","")&amp;IF(AND($C7&lt;&gt;"",$C7&gt;=TODAY(),$I7&lt;&gt;"",$C7-$I7&lt;IMPOSTAZIONI!$C$6)," · rientro anticipato, meno di "&amp;IMPOSTAZIONI!$C$6&amp;" giorni","")&amp;IF(AND($C7&lt;&gt;"",$C7&gt;=TODAY(),$I7&lt;&gt;"",$C7-$I7&gt;IMPOSTAZIONI!$C$7)," · rientro oltre "&amp;IMPOSTAZIONI!$C$7&amp;" giorni",""))=0,"",MID(IF(AND($C7&lt;&gt;"",$C7=TODAY())," · oggi in centro","")&amp;IF(AND($C7&lt;&gt;"",$C7&gt;=TODAY(),N($D7)+1&gt;=IMPOSTAZIONI!$C$5)," · ultima del ciclo, proponi il mantenimento","")&amp;IF(AND($C7&lt;&gt;"",$C7&gt;=TODAY(),$I7&lt;&gt;"",$C7-$I7&lt;IMPOSTAZIONI!$C$6)," · rientro anticipato, meno di "&amp;IMPOSTAZIONI!$C$6&amp;" giorni","")&amp;IF(AND($C7&lt;&gt;"",$C7&gt;=TODAY(),$I7&lt;&gt;"",$C7-$I7&gt;IMPOSTAZIONI!$C$7)," · rientro oltre "&amp;IMPOSTAZIONI!$C$7&amp;" giorni",""),4,300)))</f>
        <v/>
      </c>
      <c r="G7" s="16" t="n"/>
      <c r="H7" s="11" t="n"/>
      <c r="I7" s="13" t="n"/>
      <c r="J7" s="17">
        <f>IF($I7="","",TODAY()-$I7)</f>
        <v/>
      </c>
      <c r="K7" s="17">
        <f>IF($C7="","",$C7-TODAY())</f>
        <v/>
      </c>
      <c r="L7" s="15">
        <f>IF($A7="","",N($D7)&amp;"/"&amp;IMPOSTAZIONI!$C$5)</f>
        <v/>
      </c>
      <c r="M7" s="15">
        <f>IF($S7="","",IF($S7="RECUPERA CON INCENTIVO",INCENTIVI!$C$7,IF($S7="RICHIAMO MANTENIMENTO",INCENTIVI!$C$6,IF(OR($S7="FUORI FINESTRA",$S7="ULTIMA SEDUTA"),INCENTIVI!$C$5,""))))</f>
        <v/>
      </c>
      <c r="N7" s="18" t="n"/>
      <c r="O7" s="19">
        <f>IF($A7="","",N($D7)*N($N7))</f>
        <v/>
      </c>
      <c r="P7" s="19">
        <f>IF($A7="","",MAX(0,(IMPOSTAZIONI!$C$5-N($D7))*N($N7)))</f>
        <v/>
      </c>
      <c r="Q7" s="13" t="n"/>
      <c r="R7" s="11" t="n"/>
      <c r="S7" s="15">
        <f>IF($A7="","",IF(AND($C7&lt;&gt;"",$C7&lt;TODAY(),OR($I7="",$I7&lt;$C7)),"APPUNTAMENTO SALTATO",IF(AND($C7&lt;&gt;"",$C7-TODAY()=1),"CONFERMA DOMANI",IF(AND($C7&lt;&gt;"",$C7-TODAY()=IMPOSTAZIONI!$C$8),"CHIAMA PER CONFERMA",IF(AND($C7&lt;&gt;"",$C7&gt;=TODAY()),"",IF($E7="Sospesa","",IF($E7="Persa","RECUPERA CON INCENTIVO",IF(AND($I7&lt;&gt;"",TODAY()&gt;=EDATE($I7,IMPOSTAZIONI!$C$10)),"RECUPERA CON INCENTIVO",IF($E7="Mantenimento",IF(AND($I7&lt;&gt;"",TODAY()-$I7&gt;=IMPOSTAZIONI!$C$9),"RICHIAMO MANTENIMENTO",""),IF($E7="In ciclo",IF(N($D7)&gt;=IMPOSTAZIONI!$C$5,"ULTIMA SEDUTA",IF(AND($I7&lt;&gt;"",TODAY()-$I7&gt;IMPOSTAZIONI!$C$7),"FUORI FINESTRA","PRENDI APPUNTAMENTO")),IF($E7="Da contattare","PRENDI APPUNTAMENTO","")))))))))))</f>
        <v/>
      </c>
      <c r="T7" s="17">
        <f>IF($S7="","",IFERROR(MATCH($S7,IMPOSTAZIONI!$F$5:$F$12,0),9)*100000000+(9999-MIN(9999,ROUND(N($O7)/100,0)))*10000+ROW())</f>
        <v/>
      </c>
    </row>
    <row r="8">
      <c r="A8" s="11" t="n"/>
      <c r="B8" s="12">
        <f>IF($S8="","",IFERROR(MATCH($S8,IMPOSTAZIONI!$F$5:$F$12,0),9)&amp;" · "&amp;$S8)</f>
        <v/>
      </c>
      <c r="C8" s="13" t="n"/>
      <c r="D8" s="14" t="n"/>
      <c r="E8" s="11" t="n"/>
      <c r="F8" s="15">
        <f>IF($A8="","",IF(LEN(IF(AND($C8&lt;&gt;"",$C8=TODAY())," · oggi in centro","")&amp;IF(AND($C8&lt;&gt;"",$C8&gt;=TODAY(),N($D8)+1&gt;=IMPOSTAZIONI!$C$5)," · ultima del ciclo, proponi il mantenimento","")&amp;IF(AND($C8&lt;&gt;"",$C8&gt;=TODAY(),$I8&lt;&gt;"",$C8-$I8&lt;IMPOSTAZIONI!$C$6)," · rientro anticipato, meno di "&amp;IMPOSTAZIONI!$C$6&amp;" giorni","")&amp;IF(AND($C8&lt;&gt;"",$C8&gt;=TODAY(),$I8&lt;&gt;"",$C8-$I8&gt;IMPOSTAZIONI!$C$7)," · rientro oltre "&amp;IMPOSTAZIONI!$C$7&amp;" giorni",""))=0,"",MID(IF(AND($C8&lt;&gt;"",$C8=TODAY())," · oggi in centro","")&amp;IF(AND($C8&lt;&gt;"",$C8&gt;=TODAY(),N($D8)+1&gt;=IMPOSTAZIONI!$C$5)," · ultima del ciclo, proponi il mantenimento","")&amp;IF(AND($C8&lt;&gt;"",$C8&gt;=TODAY(),$I8&lt;&gt;"",$C8-$I8&lt;IMPOSTAZIONI!$C$6)," · rientro anticipato, meno di "&amp;IMPOSTAZIONI!$C$6&amp;" giorni","")&amp;IF(AND($C8&lt;&gt;"",$C8&gt;=TODAY(),$I8&lt;&gt;"",$C8-$I8&gt;IMPOSTAZIONI!$C$7)," · rientro oltre "&amp;IMPOSTAZIONI!$C$7&amp;" giorni",""),4,300)))</f>
        <v/>
      </c>
      <c r="G8" s="16" t="n"/>
      <c r="H8" s="11" t="n"/>
      <c r="I8" s="13" t="n"/>
      <c r="J8" s="17">
        <f>IF($I8="","",TODAY()-$I8)</f>
        <v/>
      </c>
      <c r="K8" s="17">
        <f>IF($C8="","",$C8-TODAY())</f>
        <v/>
      </c>
      <c r="L8" s="15">
        <f>IF($A8="","",N($D8)&amp;"/"&amp;IMPOSTAZIONI!$C$5)</f>
        <v/>
      </c>
      <c r="M8" s="15">
        <f>IF($S8="","",IF($S8="RECUPERA CON INCENTIVO",INCENTIVI!$C$7,IF($S8="RICHIAMO MANTENIMENTO",INCENTIVI!$C$6,IF(OR($S8="FUORI FINESTRA",$S8="ULTIMA SEDUTA"),INCENTIVI!$C$5,""))))</f>
        <v/>
      </c>
      <c r="N8" s="18" t="n"/>
      <c r="O8" s="19">
        <f>IF($A8="","",N($D8)*N($N8))</f>
        <v/>
      </c>
      <c r="P8" s="19">
        <f>IF($A8="","",MAX(0,(IMPOSTAZIONI!$C$5-N($D8))*N($N8)))</f>
        <v/>
      </c>
      <c r="Q8" s="13" t="n"/>
      <c r="R8" s="11" t="n"/>
      <c r="S8" s="15">
        <f>IF($A8="","",IF(AND($C8&lt;&gt;"",$C8&lt;TODAY(),OR($I8="",$I8&lt;$C8)),"APPUNTAMENTO SALTATO",IF(AND($C8&lt;&gt;"",$C8-TODAY()=1),"CONFERMA DOMANI",IF(AND($C8&lt;&gt;"",$C8-TODAY()=IMPOSTAZIONI!$C$8),"CHIAMA PER CONFERMA",IF(AND($C8&lt;&gt;"",$C8&gt;=TODAY()),"",IF($E8="Sospesa","",IF($E8="Persa","RECUPERA CON INCENTIVO",IF(AND($I8&lt;&gt;"",TODAY()&gt;=EDATE($I8,IMPOSTAZIONI!$C$10)),"RECUPERA CON INCENTIVO",IF($E8="Mantenimento",IF(AND($I8&lt;&gt;"",TODAY()-$I8&gt;=IMPOSTAZIONI!$C$9),"RICHIAMO MANTENIMENTO",""),IF($E8="In ciclo",IF(N($D8)&gt;=IMPOSTAZIONI!$C$5,"ULTIMA SEDUTA",IF(AND($I8&lt;&gt;"",TODAY()-$I8&gt;IMPOSTAZIONI!$C$7),"FUORI FINESTRA","PRENDI APPUNTAMENTO")),IF($E8="Da contattare","PRENDI APPUNTAMENTO","")))))))))))</f>
        <v/>
      </c>
      <c r="T8" s="17">
        <f>IF($S8="","",IFERROR(MATCH($S8,IMPOSTAZIONI!$F$5:$F$12,0),9)*100000000+(9999-MIN(9999,ROUND(N($O8)/100,0)))*10000+ROW())</f>
        <v/>
      </c>
    </row>
    <row r="9">
      <c r="A9" s="11" t="n"/>
      <c r="B9" s="12">
        <f>IF($S9="","",IFERROR(MATCH($S9,IMPOSTAZIONI!$F$5:$F$12,0),9)&amp;" · "&amp;$S9)</f>
        <v/>
      </c>
      <c r="C9" s="13" t="n"/>
      <c r="D9" s="14" t="n"/>
      <c r="E9" s="11" t="n"/>
      <c r="F9" s="15">
        <f>IF($A9="","",IF(LEN(IF(AND($C9&lt;&gt;"",$C9=TODAY())," · oggi in centro","")&amp;IF(AND($C9&lt;&gt;"",$C9&gt;=TODAY(),N($D9)+1&gt;=IMPOSTAZIONI!$C$5)," · ultima del ciclo, proponi il mantenimento","")&amp;IF(AND($C9&lt;&gt;"",$C9&gt;=TODAY(),$I9&lt;&gt;"",$C9-$I9&lt;IMPOSTAZIONI!$C$6)," · rientro anticipato, meno di "&amp;IMPOSTAZIONI!$C$6&amp;" giorni","")&amp;IF(AND($C9&lt;&gt;"",$C9&gt;=TODAY(),$I9&lt;&gt;"",$C9-$I9&gt;IMPOSTAZIONI!$C$7)," · rientro oltre "&amp;IMPOSTAZIONI!$C$7&amp;" giorni",""))=0,"",MID(IF(AND($C9&lt;&gt;"",$C9=TODAY())," · oggi in centro","")&amp;IF(AND($C9&lt;&gt;"",$C9&gt;=TODAY(),N($D9)+1&gt;=IMPOSTAZIONI!$C$5)," · ultima del ciclo, proponi il mantenimento","")&amp;IF(AND($C9&lt;&gt;"",$C9&gt;=TODAY(),$I9&lt;&gt;"",$C9-$I9&lt;IMPOSTAZIONI!$C$6)," · rientro anticipato, meno di "&amp;IMPOSTAZIONI!$C$6&amp;" giorni","")&amp;IF(AND($C9&lt;&gt;"",$C9&gt;=TODAY(),$I9&lt;&gt;"",$C9-$I9&gt;IMPOSTAZIONI!$C$7)," · rientro oltre "&amp;IMPOSTAZIONI!$C$7&amp;" giorni",""),4,300)))</f>
        <v/>
      </c>
      <c r="G9" s="16" t="n"/>
      <c r="H9" s="11" t="n"/>
      <c r="I9" s="13" t="n"/>
      <c r="J9" s="17">
        <f>IF($I9="","",TODAY()-$I9)</f>
        <v/>
      </c>
      <c r="K9" s="17">
        <f>IF($C9="","",$C9-TODAY())</f>
        <v/>
      </c>
      <c r="L9" s="15">
        <f>IF($A9="","",N($D9)&amp;"/"&amp;IMPOSTAZIONI!$C$5)</f>
        <v/>
      </c>
      <c r="M9" s="15">
        <f>IF($S9="","",IF($S9="RECUPERA CON INCENTIVO",INCENTIVI!$C$7,IF($S9="RICHIAMO MANTENIMENTO",INCENTIVI!$C$6,IF(OR($S9="FUORI FINESTRA",$S9="ULTIMA SEDUTA"),INCENTIVI!$C$5,""))))</f>
        <v/>
      </c>
      <c r="N9" s="18" t="n"/>
      <c r="O9" s="19">
        <f>IF($A9="","",N($D9)*N($N9))</f>
        <v/>
      </c>
      <c r="P9" s="19">
        <f>IF($A9="","",MAX(0,(IMPOSTAZIONI!$C$5-N($D9))*N($N9)))</f>
        <v/>
      </c>
      <c r="Q9" s="13" t="n"/>
      <c r="R9" s="11" t="n"/>
      <c r="S9" s="15">
        <f>IF($A9="","",IF(AND($C9&lt;&gt;"",$C9&lt;TODAY(),OR($I9="",$I9&lt;$C9)),"APPUNTAMENTO SALTATO",IF(AND($C9&lt;&gt;"",$C9-TODAY()=1),"CONFERMA DOMANI",IF(AND($C9&lt;&gt;"",$C9-TODAY()=IMPOSTAZIONI!$C$8),"CHIAMA PER CONFERMA",IF(AND($C9&lt;&gt;"",$C9&gt;=TODAY()),"",IF($E9="Sospesa","",IF($E9="Persa","RECUPERA CON INCENTIVO",IF(AND($I9&lt;&gt;"",TODAY()&gt;=EDATE($I9,IMPOSTAZIONI!$C$10)),"RECUPERA CON INCENTIVO",IF($E9="Mantenimento",IF(AND($I9&lt;&gt;"",TODAY()-$I9&gt;=IMPOSTAZIONI!$C$9),"RICHIAMO MANTENIMENTO",""),IF($E9="In ciclo",IF(N($D9)&gt;=IMPOSTAZIONI!$C$5,"ULTIMA SEDUTA",IF(AND($I9&lt;&gt;"",TODAY()-$I9&gt;IMPOSTAZIONI!$C$7),"FUORI FINESTRA","PRENDI APPUNTAMENTO")),IF($E9="Da contattare","PRENDI APPUNTAMENTO","")))))))))))</f>
        <v/>
      </c>
      <c r="T9" s="17">
        <f>IF($S9="","",IFERROR(MATCH($S9,IMPOSTAZIONI!$F$5:$F$12,0),9)*100000000+(9999-MIN(9999,ROUND(N($O9)/100,0)))*10000+ROW())</f>
        <v/>
      </c>
    </row>
    <row r="10">
      <c r="A10" s="11" t="n"/>
      <c r="B10" s="12">
        <f>IF($S10="","",IFERROR(MATCH($S10,IMPOSTAZIONI!$F$5:$F$12,0),9)&amp;" · "&amp;$S10)</f>
        <v/>
      </c>
      <c r="C10" s="13" t="n"/>
      <c r="D10" s="14" t="n"/>
      <c r="E10" s="11" t="n"/>
      <c r="F10" s="15">
        <f>IF($A10="","",IF(LEN(IF(AND($C10&lt;&gt;"",$C10=TODAY())," · oggi in centro","")&amp;IF(AND($C10&lt;&gt;"",$C10&gt;=TODAY(),N($D10)+1&gt;=IMPOSTAZIONI!$C$5)," · ultima del ciclo, proponi il mantenimento","")&amp;IF(AND($C10&lt;&gt;"",$C10&gt;=TODAY(),$I10&lt;&gt;"",$C10-$I10&lt;IMPOSTAZIONI!$C$6)," · rientro anticipato, meno di "&amp;IMPOSTAZIONI!$C$6&amp;" giorni","")&amp;IF(AND($C10&lt;&gt;"",$C10&gt;=TODAY(),$I10&lt;&gt;"",$C10-$I10&gt;IMPOSTAZIONI!$C$7)," · rientro oltre "&amp;IMPOSTAZIONI!$C$7&amp;" giorni",""))=0,"",MID(IF(AND($C10&lt;&gt;"",$C10=TODAY())," · oggi in centro","")&amp;IF(AND($C10&lt;&gt;"",$C10&gt;=TODAY(),N($D10)+1&gt;=IMPOSTAZIONI!$C$5)," · ultima del ciclo, proponi il mantenimento","")&amp;IF(AND($C10&lt;&gt;"",$C10&gt;=TODAY(),$I10&lt;&gt;"",$C10-$I10&lt;IMPOSTAZIONI!$C$6)," · rientro anticipato, meno di "&amp;IMPOSTAZIONI!$C$6&amp;" giorni","")&amp;IF(AND($C10&lt;&gt;"",$C10&gt;=TODAY(),$I10&lt;&gt;"",$C10-$I10&gt;IMPOSTAZIONI!$C$7)," · rientro oltre "&amp;IMPOSTAZIONI!$C$7&amp;" giorni",""),4,300)))</f>
        <v/>
      </c>
      <c r="G10" s="16" t="n"/>
      <c r="H10" s="11" t="n"/>
      <c r="I10" s="13" t="n"/>
      <c r="J10" s="17">
        <f>IF($I10="","",TODAY()-$I10)</f>
        <v/>
      </c>
      <c r="K10" s="17">
        <f>IF($C10="","",$C10-TODAY())</f>
        <v/>
      </c>
      <c r="L10" s="15">
        <f>IF($A10="","",N($D10)&amp;"/"&amp;IMPOSTAZIONI!$C$5)</f>
        <v/>
      </c>
      <c r="M10" s="15">
        <f>IF($S10="","",IF($S10="RECUPERA CON INCENTIVO",INCENTIVI!$C$7,IF($S10="RICHIAMO MANTENIMENTO",INCENTIVI!$C$6,IF(OR($S10="FUORI FINESTRA",$S10="ULTIMA SEDUTA"),INCENTIVI!$C$5,""))))</f>
        <v/>
      </c>
      <c r="N10" s="18" t="n"/>
      <c r="O10" s="19">
        <f>IF($A10="","",N($D10)*N($N10))</f>
        <v/>
      </c>
      <c r="P10" s="19">
        <f>IF($A10="","",MAX(0,(IMPOSTAZIONI!$C$5-N($D10))*N($N10)))</f>
        <v/>
      </c>
      <c r="Q10" s="13" t="n"/>
      <c r="R10" s="11" t="n"/>
      <c r="S10" s="15">
        <f>IF($A10="","",IF(AND($C10&lt;&gt;"",$C10&lt;TODAY(),OR($I10="",$I10&lt;$C10)),"APPUNTAMENTO SALTATO",IF(AND($C10&lt;&gt;"",$C10-TODAY()=1),"CONFERMA DOMANI",IF(AND($C10&lt;&gt;"",$C10-TODAY()=IMPOSTAZIONI!$C$8),"CHIAMA PER CONFERMA",IF(AND($C10&lt;&gt;"",$C10&gt;=TODAY()),"",IF($E10="Sospesa","",IF($E10="Persa","RECUPERA CON INCENTIVO",IF(AND($I10&lt;&gt;"",TODAY()&gt;=EDATE($I10,IMPOSTAZIONI!$C$10)),"RECUPERA CON INCENTIVO",IF($E10="Mantenimento",IF(AND($I10&lt;&gt;"",TODAY()-$I10&gt;=IMPOSTAZIONI!$C$9),"RICHIAMO MANTENIMENTO",""),IF($E10="In ciclo",IF(N($D10)&gt;=IMPOSTAZIONI!$C$5,"ULTIMA SEDUTA",IF(AND($I10&lt;&gt;"",TODAY()-$I10&gt;IMPOSTAZIONI!$C$7),"FUORI FINESTRA","PRENDI APPUNTAMENTO")),IF($E10="Da contattare","PRENDI APPUNTAMENTO","")))))))))))</f>
        <v/>
      </c>
      <c r="T10" s="17">
        <f>IF($S10="","",IFERROR(MATCH($S10,IMPOSTAZIONI!$F$5:$F$12,0),9)*100000000+(9999-MIN(9999,ROUND(N($O10)/100,0)))*10000+ROW())</f>
        <v/>
      </c>
    </row>
    <row r="11">
      <c r="A11" s="11" t="n"/>
      <c r="B11" s="12">
        <f>IF($S11="","",IFERROR(MATCH($S11,IMPOSTAZIONI!$F$5:$F$12,0),9)&amp;" · "&amp;$S11)</f>
        <v/>
      </c>
      <c r="C11" s="13" t="n"/>
      <c r="D11" s="14" t="n"/>
      <c r="E11" s="11" t="n"/>
      <c r="F11" s="15">
        <f>IF($A11="","",IF(LEN(IF(AND($C11&lt;&gt;"",$C11=TODAY())," · oggi in centro","")&amp;IF(AND($C11&lt;&gt;"",$C11&gt;=TODAY(),N($D11)+1&gt;=IMPOSTAZIONI!$C$5)," · ultima del ciclo, proponi il mantenimento","")&amp;IF(AND($C11&lt;&gt;"",$C11&gt;=TODAY(),$I11&lt;&gt;"",$C11-$I11&lt;IMPOSTAZIONI!$C$6)," · rientro anticipato, meno di "&amp;IMPOSTAZIONI!$C$6&amp;" giorni","")&amp;IF(AND($C11&lt;&gt;"",$C11&gt;=TODAY(),$I11&lt;&gt;"",$C11-$I11&gt;IMPOSTAZIONI!$C$7)," · rientro oltre "&amp;IMPOSTAZIONI!$C$7&amp;" giorni",""))=0,"",MID(IF(AND($C11&lt;&gt;"",$C11=TODAY())," · oggi in centro","")&amp;IF(AND($C11&lt;&gt;"",$C11&gt;=TODAY(),N($D11)+1&gt;=IMPOSTAZIONI!$C$5)," · ultima del ciclo, proponi il mantenimento","")&amp;IF(AND($C11&lt;&gt;"",$C11&gt;=TODAY(),$I11&lt;&gt;"",$C11-$I11&lt;IMPOSTAZIONI!$C$6)," · rientro anticipato, meno di "&amp;IMPOSTAZIONI!$C$6&amp;" giorni","")&amp;IF(AND($C11&lt;&gt;"",$C11&gt;=TODAY(),$I11&lt;&gt;"",$C11-$I11&gt;IMPOSTAZIONI!$C$7)," · rientro oltre "&amp;IMPOSTAZIONI!$C$7&amp;" giorni",""),4,300)))</f>
        <v/>
      </c>
      <c r="G11" s="16" t="n"/>
      <c r="H11" s="11" t="n"/>
      <c r="I11" s="13" t="n"/>
      <c r="J11" s="17">
        <f>IF($I11="","",TODAY()-$I11)</f>
        <v/>
      </c>
      <c r="K11" s="17">
        <f>IF($C11="","",$C11-TODAY())</f>
        <v/>
      </c>
      <c r="L11" s="15">
        <f>IF($A11="","",N($D11)&amp;"/"&amp;IMPOSTAZIONI!$C$5)</f>
        <v/>
      </c>
      <c r="M11" s="15">
        <f>IF($S11="","",IF($S11="RECUPERA CON INCENTIVO",INCENTIVI!$C$7,IF($S11="RICHIAMO MANTENIMENTO",INCENTIVI!$C$6,IF(OR($S11="FUORI FINESTRA",$S11="ULTIMA SEDUTA"),INCENTIVI!$C$5,""))))</f>
        <v/>
      </c>
      <c r="N11" s="18" t="n"/>
      <c r="O11" s="19">
        <f>IF($A11="","",N($D11)*N($N11))</f>
        <v/>
      </c>
      <c r="P11" s="19">
        <f>IF($A11="","",MAX(0,(IMPOSTAZIONI!$C$5-N($D11))*N($N11)))</f>
        <v/>
      </c>
      <c r="Q11" s="13" t="n"/>
      <c r="R11" s="11" t="n"/>
      <c r="S11" s="15">
        <f>IF($A11="","",IF(AND($C11&lt;&gt;"",$C11&lt;TODAY(),OR($I11="",$I11&lt;$C11)),"APPUNTAMENTO SALTATO",IF(AND($C11&lt;&gt;"",$C11-TODAY()=1),"CONFERMA DOMANI",IF(AND($C11&lt;&gt;"",$C11-TODAY()=IMPOSTAZIONI!$C$8),"CHIAMA PER CONFERMA",IF(AND($C11&lt;&gt;"",$C11&gt;=TODAY()),"",IF($E11="Sospesa","",IF($E11="Persa","RECUPERA CON INCENTIVO",IF(AND($I11&lt;&gt;"",TODAY()&gt;=EDATE($I11,IMPOSTAZIONI!$C$10)),"RECUPERA CON INCENTIVO",IF($E11="Mantenimento",IF(AND($I11&lt;&gt;"",TODAY()-$I11&gt;=IMPOSTAZIONI!$C$9),"RICHIAMO MANTENIMENTO",""),IF($E11="In ciclo",IF(N($D11)&gt;=IMPOSTAZIONI!$C$5,"ULTIMA SEDUTA",IF(AND($I11&lt;&gt;"",TODAY()-$I11&gt;IMPOSTAZIONI!$C$7),"FUORI FINESTRA","PRENDI APPUNTAMENTO")),IF($E11="Da contattare","PRENDI APPUNTAMENTO","")))))))))))</f>
        <v/>
      </c>
      <c r="T11" s="17">
        <f>IF($S11="","",IFERROR(MATCH($S11,IMPOSTAZIONI!$F$5:$F$12,0),9)*100000000+(9999-MIN(9999,ROUND(N($O11)/100,0)))*10000+ROW())</f>
        <v/>
      </c>
    </row>
    <row r="12">
      <c r="A12" s="11" t="n"/>
      <c r="B12" s="12">
        <f>IF($S12="","",IFERROR(MATCH($S12,IMPOSTAZIONI!$F$5:$F$12,0),9)&amp;" · "&amp;$S12)</f>
        <v/>
      </c>
      <c r="C12" s="13" t="n"/>
      <c r="D12" s="14" t="n"/>
      <c r="E12" s="11" t="n"/>
      <c r="F12" s="15">
        <f>IF($A12="","",IF(LEN(IF(AND($C12&lt;&gt;"",$C12=TODAY())," · oggi in centro","")&amp;IF(AND($C12&lt;&gt;"",$C12&gt;=TODAY(),N($D12)+1&gt;=IMPOSTAZIONI!$C$5)," · ultima del ciclo, proponi il mantenimento","")&amp;IF(AND($C12&lt;&gt;"",$C12&gt;=TODAY(),$I12&lt;&gt;"",$C12-$I12&lt;IMPOSTAZIONI!$C$6)," · rientro anticipato, meno di "&amp;IMPOSTAZIONI!$C$6&amp;" giorni","")&amp;IF(AND($C12&lt;&gt;"",$C12&gt;=TODAY(),$I12&lt;&gt;"",$C12-$I12&gt;IMPOSTAZIONI!$C$7)," · rientro oltre "&amp;IMPOSTAZIONI!$C$7&amp;" giorni",""))=0,"",MID(IF(AND($C12&lt;&gt;"",$C12=TODAY())," · oggi in centro","")&amp;IF(AND($C12&lt;&gt;"",$C12&gt;=TODAY(),N($D12)+1&gt;=IMPOSTAZIONI!$C$5)," · ultima del ciclo, proponi il mantenimento","")&amp;IF(AND($C12&lt;&gt;"",$C12&gt;=TODAY(),$I12&lt;&gt;"",$C12-$I12&lt;IMPOSTAZIONI!$C$6)," · rientro anticipato, meno di "&amp;IMPOSTAZIONI!$C$6&amp;" giorni","")&amp;IF(AND($C12&lt;&gt;"",$C12&gt;=TODAY(),$I12&lt;&gt;"",$C12-$I12&gt;IMPOSTAZIONI!$C$7)," · rientro oltre "&amp;IMPOSTAZIONI!$C$7&amp;" giorni",""),4,300)))</f>
        <v/>
      </c>
      <c r="G12" s="16" t="n"/>
      <c r="H12" s="11" t="n"/>
      <c r="I12" s="13" t="n"/>
      <c r="J12" s="17">
        <f>IF($I12="","",TODAY()-$I12)</f>
        <v/>
      </c>
      <c r="K12" s="17">
        <f>IF($C12="","",$C12-TODAY())</f>
        <v/>
      </c>
      <c r="L12" s="15">
        <f>IF($A12="","",N($D12)&amp;"/"&amp;IMPOSTAZIONI!$C$5)</f>
        <v/>
      </c>
      <c r="M12" s="15">
        <f>IF($S12="","",IF($S12="RECUPERA CON INCENTIVO",INCENTIVI!$C$7,IF($S12="RICHIAMO MANTENIMENTO",INCENTIVI!$C$6,IF(OR($S12="FUORI FINESTRA",$S12="ULTIMA SEDUTA"),INCENTIVI!$C$5,""))))</f>
        <v/>
      </c>
      <c r="N12" s="18" t="n"/>
      <c r="O12" s="19">
        <f>IF($A12="","",N($D12)*N($N12))</f>
        <v/>
      </c>
      <c r="P12" s="19">
        <f>IF($A12="","",MAX(0,(IMPOSTAZIONI!$C$5-N($D12))*N($N12)))</f>
        <v/>
      </c>
      <c r="Q12" s="13" t="n"/>
      <c r="R12" s="11" t="n"/>
      <c r="S12" s="15">
        <f>IF($A12="","",IF(AND($C12&lt;&gt;"",$C12&lt;TODAY(),OR($I12="",$I12&lt;$C12)),"APPUNTAMENTO SALTATO",IF(AND($C12&lt;&gt;"",$C12-TODAY()=1),"CONFERMA DOMANI",IF(AND($C12&lt;&gt;"",$C12-TODAY()=IMPOSTAZIONI!$C$8),"CHIAMA PER CONFERMA",IF(AND($C12&lt;&gt;"",$C12&gt;=TODAY()),"",IF($E12="Sospesa","",IF($E12="Persa","RECUPERA CON INCENTIVO",IF(AND($I12&lt;&gt;"",TODAY()&gt;=EDATE($I12,IMPOSTAZIONI!$C$10)),"RECUPERA CON INCENTIVO",IF($E12="Mantenimento",IF(AND($I12&lt;&gt;"",TODAY()-$I12&gt;=IMPOSTAZIONI!$C$9),"RICHIAMO MANTENIMENTO",""),IF($E12="In ciclo",IF(N($D12)&gt;=IMPOSTAZIONI!$C$5,"ULTIMA SEDUTA",IF(AND($I12&lt;&gt;"",TODAY()-$I12&gt;IMPOSTAZIONI!$C$7),"FUORI FINESTRA","PRENDI APPUNTAMENTO")),IF($E12="Da contattare","PRENDI APPUNTAMENTO","")))))))))))</f>
        <v/>
      </c>
      <c r="T12" s="17">
        <f>IF($S12="","",IFERROR(MATCH($S12,IMPOSTAZIONI!$F$5:$F$12,0),9)*100000000+(9999-MIN(9999,ROUND(N($O12)/100,0)))*10000+ROW())</f>
        <v/>
      </c>
    </row>
    <row r="13">
      <c r="A13" s="11" t="n"/>
      <c r="B13" s="12">
        <f>IF($S13="","",IFERROR(MATCH($S13,IMPOSTAZIONI!$F$5:$F$12,0),9)&amp;" · "&amp;$S13)</f>
        <v/>
      </c>
      <c r="C13" s="13" t="n"/>
      <c r="D13" s="14" t="n"/>
      <c r="E13" s="11" t="n"/>
      <c r="F13" s="15">
        <f>IF($A13="","",IF(LEN(IF(AND($C13&lt;&gt;"",$C13=TODAY())," · oggi in centro","")&amp;IF(AND($C13&lt;&gt;"",$C13&gt;=TODAY(),N($D13)+1&gt;=IMPOSTAZIONI!$C$5)," · ultima del ciclo, proponi il mantenimento","")&amp;IF(AND($C13&lt;&gt;"",$C13&gt;=TODAY(),$I13&lt;&gt;"",$C13-$I13&lt;IMPOSTAZIONI!$C$6)," · rientro anticipato, meno di "&amp;IMPOSTAZIONI!$C$6&amp;" giorni","")&amp;IF(AND($C13&lt;&gt;"",$C13&gt;=TODAY(),$I13&lt;&gt;"",$C13-$I13&gt;IMPOSTAZIONI!$C$7)," · rientro oltre "&amp;IMPOSTAZIONI!$C$7&amp;" giorni",""))=0,"",MID(IF(AND($C13&lt;&gt;"",$C13=TODAY())," · oggi in centro","")&amp;IF(AND($C13&lt;&gt;"",$C13&gt;=TODAY(),N($D13)+1&gt;=IMPOSTAZIONI!$C$5)," · ultima del ciclo, proponi il mantenimento","")&amp;IF(AND($C13&lt;&gt;"",$C13&gt;=TODAY(),$I13&lt;&gt;"",$C13-$I13&lt;IMPOSTAZIONI!$C$6)," · rientro anticipato, meno di "&amp;IMPOSTAZIONI!$C$6&amp;" giorni","")&amp;IF(AND($C13&lt;&gt;"",$C13&gt;=TODAY(),$I13&lt;&gt;"",$C13-$I13&gt;IMPOSTAZIONI!$C$7)," · rientro oltre "&amp;IMPOSTAZIONI!$C$7&amp;" giorni",""),4,300)))</f>
        <v/>
      </c>
      <c r="G13" s="16" t="n"/>
      <c r="H13" s="11" t="n"/>
      <c r="I13" s="13" t="n"/>
      <c r="J13" s="17">
        <f>IF($I13="","",TODAY()-$I13)</f>
        <v/>
      </c>
      <c r="K13" s="17">
        <f>IF($C13="","",$C13-TODAY())</f>
        <v/>
      </c>
      <c r="L13" s="15">
        <f>IF($A13="","",N($D13)&amp;"/"&amp;IMPOSTAZIONI!$C$5)</f>
        <v/>
      </c>
      <c r="M13" s="15">
        <f>IF($S13="","",IF($S13="RECUPERA CON INCENTIVO",INCENTIVI!$C$7,IF($S13="RICHIAMO MANTENIMENTO",INCENTIVI!$C$6,IF(OR($S13="FUORI FINESTRA",$S13="ULTIMA SEDUTA"),INCENTIVI!$C$5,""))))</f>
        <v/>
      </c>
      <c r="N13" s="18" t="n"/>
      <c r="O13" s="19">
        <f>IF($A13="","",N($D13)*N($N13))</f>
        <v/>
      </c>
      <c r="P13" s="19">
        <f>IF($A13="","",MAX(0,(IMPOSTAZIONI!$C$5-N($D13))*N($N13)))</f>
        <v/>
      </c>
      <c r="Q13" s="13" t="n"/>
      <c r="R13" s="11" t="n"/>
      <c r="S13" s="15">
        <f>IF($A13="","",IF(AND($C13&lt;&gt;"",$C13&lt;TODAY(),OR($I13="",$I13&lt;$C13)),"APPUNTAMENTO SALTATO",IF(AND($C13&lt;&gt;"",$C13-TODAY()=1),"CONFERMA DOMANI",IF(AND($C13&lt;&gt;"",$C13-TODAY()=IMPOSTAZIONI!$C$8),"CHIAMA PER CONFERMA",IF(AND($C13&lt;&gt;"",$C13&gt;=TODAY()),"",IF($E13="Sospesa","",IF($E13="Persa","RECUPERA CON INCENTIVO",IF(AND($I13&lt;&gt;"",TODAY()&gt;=EDATE($I13,IMPOSTAZIONI!$C$10)),"RECUPERA CON INCENTIVO",IF($E13="Mantenimento",IF(AND($I13&lt;&gt;"",TODAY()-$I13&gt;=IMPOSTAZIONI!$C$9),"RICHIAMO MANTENIMENTO",""),IF($E13="In ciclo",IF(N($D13)&gt;=IMPOSTAZIONI!$C$5,"ULTIMA SEDUTA",IF(AND($I13&lt;&gt;"",TODAY()-$I13&gt;IMPOSTAZIONI!$C$7),"FUORI FINESTRA","PRENDI APPUNTAMENTO")),IF($E13="Da contattare","PRENDI APPUNTAMENTO","")))))))))))</f>
        <v/>
      </c>
      <c r="T13" s="17">
        <f>IF($S13="","",IFERROR(MATCH($S13,IMPOSTAZIONI!$F$5:$F$12,0),9)*100000000+(9999-MIN(9999,ROUND(N($O13)/100,0)))*10000+ROW())</f>
        <v/>
      </c>
    </row>
    <row r="14">
      <c r="A14" s="11" t="n"/>
      <c r="B14" s="12">
        <f>IF($S14="","",IFERROR(MATCH($S14,IMPOSTAZIONI!$F$5:$F$12,0),9)&amp;" · "&amp;$S14)</f>
        <v/>
      </c>
      <c r="C14" s="13" t="n"/>
      <c r="D14" s="14" t="n"/>
      <c r="E14" s="11" t="n"/>
      <c r="F14" s="15">
        <f>IF($A14="","",IF(LEN(IF(AND($C14&lt;&gt;"",$C14=TODAY())," · oggi in centro","")&amp;IF(AND($C14&lt;&gt;"",$C14&gt;=TODAY(),N($D14)+1&gt;=IMPOSTAZIONI!$C$5)," · ultima del ciclo, proponi il mantenimento","")&amp;IF(AND($C14&lt;&gt;"",$C14&gt;=TODAY(),$I14&lt;&gt;"",$C14-$I14&lt;IMPOSTAZIONI!$C$6)," · rientro anticipato, meno di "&amp;IMPOSTAZIONI!$C$6&amp;" giorni","")&amp;IF(AND($C14&lt;&gt;"",$C14&gt;=TODAY(),$I14&lt;&gt;"",$C14-$I14&gt;IMPOSTAZIONI!$C$7)," · rientro oltre "&amp;IMPOSTAZIONI!$C$7&amp;" giorni",""))=0,"",MID(IF(AND($C14&lt;&gt;"",$C14=TODAY())," · oggi in centro","")&amp;IF(AND($C14&lt;&gt;"",$C14&gt;=TODAY(),N($D14)+1&gt;=IMPOSTAZIONI!$C$5)," · ultima del ciclo, proponi il mantenimento","")&amp;IF(AND($C14&lt;&gt;"",$C14&gt;=TODAY(),$I14&lt;&gt;"",$C14-$I14&lt;IMPOSTAZIONI!$C$6)," · rientro anticipato, meno di "&amp;IMPOSTAZIONI!$C$6&amp;" giorni","")&amp;IF(AND($C14&lt;&gt;"",$C14&gt;=TODAY(),$I14&lt;&gt;"",$C14-$I14&gt;IMPOSTAZIONI!$C$7)," · rientro oltre "&amp;IMPOSTAZIONI!$C$7&amp;" giorni",""),4,300)))</f>
        <v/>
      </c>
      <c r="G14" s="16" t="n"/>
      <c r="H14" s="11" t="n"/>
      <c r="I14" s="13" t="n"/>
      <c r="J14" s="17">
        <f>IF($I14="","",TODAY()-$I14)</f>
        <v/>
      </c>
      <c r="K14" s="17">
        <f>IF($C14="","",$C14-TODAY())</f>
        <v/>
      </c>
      <c r="L14" s="15">
        <f>IF($A14="","",N($D14)&amp;"/"&amp;IMPOSTAZIONI!$C$5)</f>
        <v/>
      </c>
      <c r="M14" s="15">
        <f>IF($S14="","",IF($S14="RECUPERA CON INCENTIVO",INCENTIVI!$C$7,IF($S14="RICHIAMO MANTENIMENTO",INCENTIVI!$C$6,IF(OR($S14="FUORI FINESTRA",$S14="ULTIMA SEDUTA"),INCENTIVI!$C$5,""))))</f>
        <v/>
      </c>
      <c r="N14" s="18" t="n"/>
      <c r="O14" s="19">
        <f>IF($A14="","",N($D14)*N($N14))</f>
        <v/>
      </c>
      <c r="P14" s="19">
        <f>IF($A14="","",MAX(0,(IMPOSTAZIONI!$C$5-N($D14))*N($N14)))</f>
        <v/>
      </c>
      <c r="Q14" s="13" t="n"/>
      <c r="R14" s="11" t="n"/>
      <c r="S14" s="15">
        <f>IF($A14="","",IF(AND($C14&lt;&gt;"",$C14&lt;TODAY(),OR($I14="",$I14&lt;$C14)),"APPUNTAMENTO SALTATO",IF(AND($C14&lt;&gt;"",$C14-TODAY()=1),"CONFERMA DOMANI",IF(AND($C14&lt;&gt;"",$C14-TODAY()=IMPOSTAZIONI!$C$8),"CHIAMA PER CONFERMA",IF(AND($C14&lt;&gt;"",$C14&gt;=TODAY()),"",IF($E14="Sospesa","",IF($E14="Persa","RECUPERA CON INCENTIVO",IF(AND($I14&lt;&gt;"",TODAY()&gt;=EDATE($I14,IMPOSTAZIONI!$C$10)),"RECUPERA CON INCENTIVO",IF($E14="Mantenimento",IF(AND($I14&lt;&gt;"",TODAY()-$I14&gt;=IMPOSTAZIONI!$C$9),"RICHIAMO MANTENIMENTO",""),IF($E14="In ciclo",IF(N($D14)&gt;=IMPOSTAZIONI!$C$5,"ULTIMA SEDUTA",IF(AND($I14&lt;&gt;"",TODAY()-$I14&gt;IMPOSTAZIONI!$C$7),"FUORI FINESTRA","PRENDI APPUNTAMENTO")),IF($E14="Da contattare","PRENDI APPUNTAMENTO","")))))))))))</f>
        <v/>
      </c>
      <c r="T14" s="17">
        <f>IF($S14="","",IFERROR(MATCH($S14,IMPOSTAZIONI!$F$5:$F$12,0),9)*100000000+(9999-MIN(9999,ROUND(N($O14)/100,0)))*10000+ROW())</f>
        <v/>
      </c>
    </row>
    <row r="15">
      <c r="A15" s="11" t="n"/>
      <c r="B15" s="12">
        <f>IF($S15="","",IFERROR(MATCH($S15,IMPOSTAZIONI!$F$5:$F$12,0),9)&amp;" · "&amp;$S15)</f>
        <v/>
      </c>
      <c r="C15" s="13" t="n"/>
      <c r="D15" s="14" t="n"/>
      <c r="E15" s="11" t="n"/>
      <c r="F15" s="15">
        <f>IF($A15="","",IF(LEN(IF(AND($C15&lt;&gt;"",$C15=TODAY())," · oggi in centro","")&amp;IF(AND($C15&lt;&gt;"",$C15&gt;=TODAY(),N($D15)+1&gt;=IMPOSTAZIONI!$C$5)," · ultima del ciclo, proponi il mantenimento","")&amp;IF(AND($C15&lt;&gt;"",$C15&gt;=TODAY(),$I15&lt;&gt;"",$C15-$I15&lt;IMPOSTAZIONI!$C$6)," · rientro anticipato, meno di "&amp;IMPOSTAZIONI!$C$6&amp;" giorni","")&amp;IF(AND($C15&lt;&gt;"",$C15&gt;=TODAY(),$I15&lt;&gt;"",$C15-$I15&gt;IMPOSTAZIONI!$C$7)," · rientro oltre "&amp;IMPOSTAZIONI!$C$7&amp;" giorni",""))=0,"",MID(IF(AND($C15&lt;&gt;"",$C15=TODAY())," · oggi in centro","")&amp;IF(AND($C15&lt;&gt;"",$C15&gt;=TODAY(),N($D15)+1&gt;=IMPOSTAZIONI!$C$5)," · ultima del ciclo, proponi il mantenimento","")&amp;IF(AND($C15&lt;&gt;"",$C15&gt;=TODAY(),$I15&lt;&gt;"",$C15-$I15&lt;IMPOSTAZIONI!$C$6)," · rientro anticipato, meno di "&amp;IMPOSTAZIONI!$C$6&amp;" giorni","")&amp;IF(AND($C15&lt;&gt;"",$C15&gt;=TODAY(),$I15&lt;&gt;"",$C15-$I15&gt;IMPOSTAZIONI!$C$7)," · rientro oltre "&amp;IMPOSTAZIONI!$C$7&amp;" giorni",""),4,300)))</f>
        <v/>
      </c>
      <c r="G15" s="16" t="n"/>
      <c r="H15" s="11" t="n"/>
      <c r="I15" s="13" t="n"/>
      <c r="J15" s="17">
        <f>IF($I15="","",TODAY()-$I15)</f>
        <v/>
      </c>
      <c r="K15" s="17">
        <f>IF($C15="","",$C15-TODAY())</f>
        <v/>
      </c>
      <c r="L15" s="15">
        <f>IF($A15="","",N($D15)&amp;"/"&amp;IMPOSTAZIONI!$C$5)</f>
        <v/>
      </c>
      <c r="M15" s="15">
        <f>IF($S15="","",IF($S15="RECUPERA CON INCENTIVO",INCENTIVI!$C$7,IF($S15="RICHIAMO MANTENIMENTO",INCENTIVI!$C$6,IF(OR($S15="FUORI FINESTRA",$S15="ULTIMA SEDUTA"),INCENTIVI!$C$5,""))))</f>
        <v/>
      </c>
      <c r="N15" s="18" t="n"/>
      <c r="O15" s="19">
        <f>IF($A15="","",N($D15)*N($N15))</f>
        <v/>
      </c>
      <c r="P15" s="19">
        <f>IF($A15="","",MAX(0,(IMPOSTAZIONI!$C$5-N($D15))*N($N15)))</f>
        <v/>
      </c>
      <c r="Q15" s="13" t="n"/>
      <c r="R15" s="11" t="n"/>
      <c r="S15" s="15">
        <f>IF($A15="","",IF(AND($C15&lt;&gt;"",$C15&lt;TODAY(),OR($I15="",$I15&lt;$C15)),"APPUNTAMENTO SALTATO",IF(AND($C15&lt;&gt;"",$C15-TODAY()=1),"CONFERMA DOMANI",IF(AND($C15&lt;&gt;"",$C15-TODAY()=IMPOSTAZIONI!$C$8),"CHIAMA PER CONFERMA",IF(AND($C15&lt;&gt;"",$C15&gt;=TODAY()),"",IF($E15="Sospesa","",IF($E15="Persa","RECUPERA CON INCENTIVO",IF(AND($I15&lt;&gt;"",TODAY()&gt;=EDATE($I15,IMPOSTAZIONI!$C$10)),"RECUPERA CON INCENTIVO",IF($E15="Mantenimento",IF(AND($I15&lt;&gt;"",TODAY()-$I15&gt;=IMPOSTAZIONI!$C$9),"RICHIAMO MANTENIMENTO",""),IF($E15="In ciclo",IF(N($D15)&gt;=IMPOSTAZIONI!$C$5,"ULTIMA SEDUTA",IF(AND($I15&lt;&gt;"",TODAY()-$I15&gt;IMPOSTAZIONI!$C$7),"FUORI FINESTRA","PRENDI APPUNTAMENTO")),IF($E15="Da contattare","PRENDI APPUNTAMENTO","")))))))))))</f>
        <v/>
      </c>
      <c r="T15" s="17">
        <f>IF($S15="","",IFERROR(MATCH($S15,IMPOSTAZIONI!$F$5:$F$12,0),9)*100000000+(9999-MIN(9999,ROUND(N($O15)/100,0)))*10000+ROW())</f>
        <v/>
      </c>
    </row>
    <row r="16">
      <c r="A16" s="11" t="n"/>
      <c r="B16" s="12">
        <f>IF($S16="","",IFERROR(MATCH($S16,IMPOSTAZIONI!$F$5:$F$12,0),9)&amp;" · "&amp;$S16)</f>
        <v/>
      </c>
      <c r="C16" s="13" t="n"/>
      <c r="D16" s="14" t="n"/>
      <c r="E16" s="11" t="n"/>
      <c r="F16" s="15">
        <f>IF($A16="","",IF(LEN(IF(AND($C16&lt;&gt;"",$C16=TODAY())," · oggi in centro","")&amp;IF(AND($C16&lt;&gt;"",$C16&gt;=TODAY(),N($D16)+1&gt;=IMPOSTAZIONI!$C$5)," · ultima del ciclo, proponi il mantenimento","")&amp;IF(AND($C16&lt;&gt;"",$C16&gt;=TODAY(),$I16&lt;&gt;"",$C16-$I16&lt;IMPOSTAZIONI!$C$6)," · rientro anticipato, meno di "&amp;IMPOSTAZIONI!$C$6&amp;" giorni","")&amp;IF(AND($C16&lt;&gt;"",$C16&gt;=TODAY(),$I16&lt;&gt;"",$C16-$I16&gt;IMPOSTAZIONI!$C$7)," · rientro oltre "&amp;IMPOSTAZIONI!$C$7&amp;" giorni",""))=0,"",MID(IF(AND($C16&lt;&gt;"",$C16=TODAY())," · oggi in centro","")&amp;IF(AND($C16&lt;&gt;"",$C16&gt;=TODAY(),N($D16)+1&gt;=IMPOSTAZIONI!$C$5)," · ultima del ciclo, proponi il mantenimento","")&amp;IF(AND($C16&lt;&gt;"",$C16&gt;=TODAY(),$I16&lt;&gt;"",$C16-$I16&lt;IMPOSTAZIONI!$C$6)," · rientro anticipato, meno di "&amp;IMPOSTAZIONI!$C$6&amp;" giorni","")&amp;IF(AND($C16&lt;&gt;"",$C16&gt;=TODAY(),$I16&lt;&gt;"",$C16-$I16&gt;IMPOSTAZIONI!$C$7)," · rientro oltre "&amp;IMPOSTAZIONI!$C$7&amp;" giorni",""),4,300)))</f>
        <v/>
      </c>
      <c r="G16" s="16" t="n"/>
      <c r="H16" s="11" t="n"/>
      <c r="I16" s="13" t="n"/>
      <c r="J16" s="17">
        <f>IF($I16="","",TODAY()-$I16)</f>
        <v/>
      </c>
      <c r="K16" s="17">
        <f>IF($C16="","",$C16-TODAY())</f>
        <v/>
      </c>
      <c r="L16" s="15">
        <f>IF($A16="","",N($D16)&amp;"/"&amp;IMPOSTAZIONI!$C$5)</f>
        <v/>
      </c>
      <c r="M16" s="15">
        <f>IF($S16="","",IF($S16="RECUPERA CON INCENTIVO",INCENTIVI!$C$7,IF($S16="RICHIAMO MANTENIMENTO",INCENTIVI!$C$6,IF(OR($S16="FUORI FINESTRA",$S16="ULTIMA SEDUTA"),INCENTIVI!$C$5,""))))</f>
        <v/>
      </c>
      <c r="N16" s="18" t="n"/>
      <c r="O16" s="19">
        <f>IF($A16="","",N($D16)*N($N16))</f>
        <v/>
      </c>
      <c r="P16" s="19">
        <f>IF($A16="","",MAX(0,(IMPOSTAZIONI!$C$5-N($D16))*N($N16)))</f>
        <v/>
      </c>
      <c r="Q16" s="13" t="n"/>
      <c r="R16" s="11" t="n"/>
      <c r="S16" s="15">
        <f>IF($A16="","",IF(AND($C16&lt;&gt;"",$C16&lt;TODAY(),OR($I16="",$I16&lt;$C16)),"APPUNTAMENTO SALTATO",IF(AND($C16&lt;&gt;"",$C16-TODAY()=1),"CONFERMA DOMANI",IF(AND($C16&lt;&gt;"",$C16-TODAY()=IMPOSTAZIONI!$C$8),"CHIAMA PER CONFERMA",IF(AND($C16&lt;&gt;"",$C16&gt;=TODAY()),"",IF($E16="Sospesa","",IF($E16="Persa","RECUPERA CON INCENTIVO",IF(AND($I16&lt;&gt;"",TODAY()&gt;=EDATE($I16,IMPOSTAZIONI!$C$10)),"RECUPERA CON INCENTIVO",IF($E16="Mantenimento",IF(AND($I16&lt;&gt;"",TODAY()-$I16&gt;=IMPOSTAZIONI!$C$9),"RICHIAMO MANTENIMENTO",""),IF($E16="In ciclo",IF(N($D16)&gt;=IMPOSTAZIONI!$C$5,"ULTIMA SEDUTA",IF(AND($I16&lt;&gt;"",TODAY()-$I16&gt;IMPOSTAZIONI!$C$7),"FUORI FINESTRA","PRENDI APPUNTAMENTO")),IF($E16="Da contattare","PRENDI APPUNTAMENTO","")))))))))))</f>
        <v/>
      </c>
      <c r="T16" s="17">
        <f>IF($S16="","",IFERROR(MATCH($S16,IMPOSTAZIONI!$F$5:$F$12,0),9)*100000000+(9999-MIN(9999,ROUND(N($O16)/100,0)))*10000+ROW())</f>
        <v/>
      </c>
    </row>
    <row r="17">
      <c r="A17" s="11" t="n"/>
      <c r="B17" s="12">
        <f>IF($S17="","",IFERROR(MATCH($S17,IMPOSTAZIONI!$F$5:$F$12,0),9)&amp;" · "&amp;$S17)</f>
        <v/>
      </c>
      <c r="C17" s="13" t="n"/>
      <c r="D17" s="14" t="n"/>
      <c r="E17" s="11" t="n"/>
      <c r="F17" s="15">
        <f>IF($A17="","",IF(LEN(IF(AND($C17&lt;&gt;"",$C17=TODAY())," · oggi in centro","")&amp;IF(AND($C17&lt;&gt;"",$C17&gt;=TODAY(),N($D17)+1&gt;=IMPOSTAZIONI!$C$5)," · ultima del ciclo, proponi il mantenimento","")&amp;IF(AND($C17&lt;&gt;"",$C17&gt;=TODAY(),$I17&lt;&gt;"",$C17-$I17&lt;IMPOSTAZIONI!$C$6)," · rientro anticipato, meno di "&amp;IMPOSTAZIONI!$C$6&amp;" giorni","")&amp;IF(AND($C17&lt;&gt;"",$C17&gt;=TODAY(),$I17&lt;&gt;"",$C17-$I17&gt;IMPOSTAZIONI!$C$7)," · rientro oltre "&amp;IMPOSTAZIONI!$C$7&amp;" giorni",""))=0,"",MID(IF(AND($C17&lt;&gt;"",$C17=TODAY())," · oggi in centro","")&amp;IF(AND($C17&lt;&gt;"",$C17&gt;=TODAY(),N($D17)+1&gt;=IMPOSTAZIONI!$C$5)," · ultima del ciclo, proponi il mantenimento","")&amp;IF(AND($C17&lt;&gt;"",$C17&gt;=TODAY(),$I17&lt;&gt;"",$C17-$I17&lt;IMPOSTAZIONI!$C$6)," · rientro anticipato, meno di "&amp;IMPOSTAZIONI!$C$6&amp;" giorni","")&amp;IF(AND($C17&lt;&gt;"",$C17&gt;=TODAY(),$I17&lt;&gt;"",$C17-$I17&gt;IMPOSTAZIONI!$C$7)," · rientro oltre "&amp;IMPOSTAZIONI!$C$7&amp;" giorni",""),4,300)))</f>
        <v/>
      </c>
      <c r="G17" s="16" t="n"/>
      <c r="H17" s="11" t="n"/>
      <c r="I17" s="13" t="n"/>
      <c r="J17" s="17">
        <f>IF($I17="","",TODAY()-$I17)</f>
        <v/>
      </c>
      <c r="K17" s="17">
        <f>IF($C17="","",$C17-TODAY())</f>
        <v/>
      </c>
      <c r="L17" s="15">
        <f>IF($A17="","",N($D17)&amp;"/"&amp;IMPOSTAZIONI!$C$5)</f>
        <v/>
      </c>
      <c r="M17" s="15">
        <f>IF($S17="","",IF($S17="RECUPERA CON INCENTIVO",INCENTIVI!$C$7,IF($S17="RICHIAMO MANTENIMENTO",INCENTIVI!$C$6,IF(OR($S17="FUORI FINESTRA",$S17="ULTIMA SEDUTA"),INCENTIVI!$C$5,""))))</f>
        <v/>
      </c>
      <c r="N17" s="18" t="n"/>
      <c r="O17" s="19">
        <f>IF($A17="","",N($D17)*N($N17))</f>
        <v/>
      </c>
      <c r="P17" s="19">
        <f>IF($A17="","",MAX(0,(IMPOSTAZIONI!$C$5-N($D17))*N($N17)))</f>
        <v/>
      </c>
      <c r="Q17" s="13" t="n"/>
      <c r="R17" s="11" t="n"/>
      <c r="S17" s="15">
        <f>IF($A17="","",IF(AND($C17&lt;&gt;"",$C17&lt;TODAY(),OR($I17="",$I17&lt;$C17)),"APPUNTAMENTO SALTATO",IF(AND($C17&lt;&gt;"",$C17-TODAY()=1),"CONFERMA DOMANI",IF(AND($C17&lt;&gt;"",$C17-TODAY()=IMPOSTAZIONI!$C$8),"CHIAMA PER CONFERMA",IF(AND($C17&lt;&gt;"",$C17&gt;=TODAY()),"",IF($E17="Sospesa","",IF($E17="Persa","RECUPERA CON INCENTIVO",IF(AND($I17&lt;&gt;"",TODAY()&gt;=EDATE($I17,IMPOSTAZIONI!$C$10)),"RECUPERA CON INCENTIVO",IF($E17="Mantenimento",IF(AND($I17&lt;&gt;"",TODAY()-$I17&gt;=IMPOSTAZIONI!$C$9),"RICHIAMO MANTENIMENTO",""),IF($E17="In ciclo",IF(N($D17)&gt;=IMPOSTAZIONI!$C$5,"ULTIMA SEDUTA",IF(AND($I17&lt;&gt;"",TODAY()-$I17&gt;IMPOSTAZIONI!$C$7),"FUORI FINESTRA","PRENDI APPUNTAMENTO")),IF($E17="Da contattare","PRENDI APPUNTAMENTO","")))))))))))</f>
        <v/>
      </c>
      <c r="T17" s="17">
        <f>IF($S17="","",IFERROR(MATCH($S17,IMPOSTAZIONI!$F$5:$F$12,0),9)*100000000+(9999-MIN(9999,ROUND(N($O17)/100,0)))*10000+ROW())</f>
        <v/>
      </c>
    </row>
    <row r="18">
      <c r="A18" s="11" t="n"/>
      <c r="B18" s="12">
        <f>IF($S18="","",IFERROR(MATCH($S18,IMPOSTAZIONI!$F$5:$F$12,0),9)&amp;" · "&amp;$S18)</f>
        <v/>
      </c>
      <c r="C18" s="13" t="n"/>
      <c r="D18" s="14" t="n"/>
      <c r="E18" s="11" t="n"/>
      <c r="F18" s="15">
        <f>IF($A18="","",IF(LEN(IF(AND($C18&lt;&gt;"",$C18=TODAY())," · oggi in centro","")&amp;IF(AND($C18&lt;&gt;"",$C18&gt;=TODAY(),N($D18)+1&gt;=IMPOSTAZIONI!$C$5)," · ultima del ciclo, proponi il mantenimento","")&amp;IF(AND($C18&lt;&gt;"",$C18&gt;=TODAY(),$I18&lt;&gt;"",$C18-$I18&lt;IMPOSTAZIONI!$C$6)," · rientro anticipato, meno di "&amp;IMPOSTAZIONI!$C$6&amp;" giorni","")&amp;IF(AND($C18&lt;&gt;"",$C18&gt;=TODAY(),$I18&lt;&gt;"",$C18-$I18&gt;IMPOSTAZIONI!$C$7)," · rientro oltre "&amp;IMPOSTAZIONI!$C$7&amp;" giorni",""))=0,"",MID(IF(AND($C18&lt;&gt;"",$C18=TODAY())," · oggi in centro","")&amp;IF(AND($C18&lt;&gt;"",$C18&gt;=TODAY(),N($D18)+1&gt;=IMPOSTAZIONI!$C$5)," · ultima del ciclo, proponi il mantenimento","")&amp;IF(AND($C18&lt;&gt;"",$C18&gt;=TODAY(),$I18&lt;&gt;"",$C18-$I18&lt;IMPOSTAZIONI!$C$6)," · rientro anticipato, meno di "&amp;IMPOSTAZIONI!$C$6&amp;" giorni","")&amp;IF(AND($C18&lt;&gt;"",$C18&gt;=TODAY(),$I18&lt;&gt;"",$C18-$I18&gt;IMPOSTAZIONI!$C$7)," · rientro oltre "&amp;IMPOSTAZIONI!$C$7&amp;" giorni",""),4,300)))</f>
        <v/>
      </c>
      <c r="G18" s="16" t="n"/>
      <c r="H18" s="11" t="n"/>
      <c r="I18" s="13" t="n"/>
      <c r="J18" s="17">
        <f>IF($I18="","",TODAY()-$I18)</f>
        <v/>
      </c>
      <c r="K18" s="17">
        <f>IF($C18="","",$C18-TODAY())</f>
        <v/>
      </c>
      <c r="L18" s="15">
        <f>IF($A18="","",N($D18)&amp;"/"&amp;IMPOSTAZIONI!$C$5)</f>
        <v/>
      </c>
      <c r="M18" s="15">
        <f>IF($S18="","",IF($S18="RECUPERA CON INCENTIVO",INCENTIVI!$C$7,IF($S18="RICHIAMO MANTENIMENTO",INCENTIVI!$C$6,IF(OR($S18="FUORI FINESTRA",$S18="ULTIMA SEDUTA"),INCENTIVI!$C$5,""))))</f>
        <v/>
      </c>
      <c r="N18" s="18" t="n"/>
      <c r="O18" s="19">
        <f>IF($A18="","",N($D18)*N($N18))</f>
        <v/>
      </c>
      <c r="P18" s="19">
        <f>IF($A18="","",MAX(0,(IMPOSTAZIONI!$C$5-N($D18))*N($N18)))</f>
        <v/>
      </c>
      <c r="Q18" s="13" t="n"/>
      <c r="R18" s="11" t="n"/>
      <c r="S18" s="15">
        <f>IF($A18="","",IF(AND($C18&lt;&gt;"",$C18&lt;TODAY(),OR($I18="",$I18&lt;$C18)),"APPUNTAMENTO SALTATO",IF(AND($C18&lt;&gt;"",$C18-TODAY()=1),"CONFERMA DOMANI",IF(AND($C18&lt;&gt;"",$C18-TODAY()=IMPOSTAZIONI!$C$8),"CHIAMA PER CONFERMA",IF(AND($C18&lt;&gt;"",$C18&gt;=TODAY()),"",IF($E18="Sospesa","",IF($E18="Persa","RECUPERA CON INCENTIVO",IF(AND($I18&lt;&gt;"",TODAY()&gt;=EDATE($I18,IMPOSTAZIONI!$C$10)),"RECUPERA CON INCENTIVO",IF($E18="Mantenimento",IF(AND($I18&lt;&gt;"",TODAY()-$I18&gt;=IMPOSTAZIONI!$C$9),"RICHIAMO MANTENIMENTO",""),IF($E18="In ciclo",IF(N($D18)&gt;=IMPOSTAZIONI!$C$5,"ULTIMA SEDUTA",IF(AND($I18&lt;&gt;"",TODAY()-$I18&gt;IMPOSTAZIONI!$C$7),"FUORI FINESTRA","PRENDI APPUNTAMENTO")),IF($E18="Da contattare","PRENDI APPUNTAMENTO","")))))))))))</f>
        <v/>
      </c>
      <c r="T18" s="17">
        <f>IF($S18="","",IFERROR(MATCH($S18,IMPOSTAZIONI!$F$5:$F$12,0),9)*100000000+(9999-MIN(9999,ROUND(N($O18)/100,0)))*10000+ROW())</f>
        <v/>
      </c>
    </row>
    <row r="19">
      <c r="A19" s="11" t="n"/>
      <c r="B19" s="12">
        <f>IF($S19="","",IFERROR(MATCH($S19,IMPOSTAZIONI!$F$5:$F$12,0),9)&amp;" · "&amp;$S19)</f>
        <v/>
      </c>
      <c r="C19" s="13" t="n"/>
      <c r="D19" s="14" t="n"/>
      <c r="E19" s="11" t="n"/>
      <c r="F19" s="15">
        <f>IF($A19="","",IF(LEN(IF(AND($C19&lt;&gt;"",$C19=TODAY())," · oggi in centro","")&amp;IF(AND($C19&lt;&gt;"",$C19&gt;=TODAY(),N($D19)+1&gt;=IMPOSTAZIONI!$C$5)," · ultima del ciclo, proponi il mantenimento","")&amp;IF(AND($C19&lt;&gt;"",$C19&gt;=TODAY(),$I19&lt;&gt;"",$C19-$I19&lt;IMPOSTAZIONI!$C$6)," · rientro anticipato, meno di "&amp;IMPOSTAZIONI!$C$6&amp;" giorni","")&amp;IF(AND($C19&lt;&gt;"",$C19&gt;=TODAY(),$I19&lt;&gt;"",$C19-$I19&gt;IMPOSTAZIONI!$C$7)," · rientro oltre "&amp;IMPOSTAZIONI!$C$7&amp;" giorni",""))=0,"",MID(IF(AND($C19&lt;&gt;"",$C19=TODAY())," · oggi in centro","")&amp;IF(AND($C19&lt;&gt;"",$C19&gt;=TODAY(),N($D19)+1&gt;=IMPOSTAZIONI!$C$5)," · ultima del ciclo, proponi il mantenimento","")&amp;IF(AND($C19&lt;&gt;"",$C19&gt;=TODAY(),$I19&lt;&gt;"",$C19-$I19&lt;IMPOSTAZIONI!$C$6)," · rientro anticipato, meno di "&amp;IMPOSTAZIONI!$C$6&amp;" giorni","")&amp;IF(AND($C19&lt;&gt;"",$C19&gt;=TODAY(),$I19&lt;&gt;"",$C19-$I19&gt;IMPOSTAZIONI!$C$7)," · rientro oltre "&amp;IMPOSTAZIONI!$C$7&amp;" giorni",""),4,300)))</f>
        <v/>
      </c>
      <c r="G19" s="16" t="n"/>
      <c r="H19" s="11" t="n"/>
      <c r="I19" s="13" t="n"/>
      <c r="J19" s="17">
        <f>IF($I19="","",TODAY()-$I19)</f>
        <v/>
      </c>
      <c r="K19" s="17">
        <f>IF($C19="","",$C19-TODAY())</f>
        <v/>
      </c>
      <c r="L19" s="15">
        <f>IF($A19="","",N($D19)&amp;"/"&amp;IMPOSTAZIONI!$C$5)</f>
        <v/>
      </c>
      <c r="M19" s="15">
        <f>IF($S19="","",IF($S19="RECUPERA CON INCENTIVO",INCENTIVI!$C$7,IF($S19="RICHIAMO MANTENIMENTO",INCENTIVI!$C$6,IF(OR($S19="FUORI FINESTRA",$S19="ULTIMA SEDUTA"),INCENTIVI!$C$5,""))))</f>
        <v/>
      </c>
      <c r="N19" s="18" t="n"/>
      <c r="O19" s="19">
        <f>IF($A19="","",N($D19)*N($N19))</f>
        <v/>
      </c>
      <c r="P19" s="19">
        <f>IF($A19="","",MAX(0,(IMPOSTAZIONI!$C$5-N($D19))*N($N19)))</f>
        <v/>
      </c>
      <c r="Q19" s="13" t="n"/>
      <c r="R19" s="11" t="n"/>
      <c r="S19" s="15">
        <f>IF($A19="","",IF(AND($C19&lt;&gt;"",$C19&lt;TODAY(),OR($I19="",$I19&lt;$C19)),"APPUNTAMENTO SALTATO",IF(AND($C19&lt;&gt;"",$C19-TODAY()=1),"CONFERMA DOMANI",IF(AND($C19&lt;&gt;"",$C19-TODAY()=IMPOSTAZIONI!$C$8),"CHIAMA PER CONFERMA",IF(AND($C19&lt;&gt;"",$C19&gt;=TODAY()),"",IF($E19="Sospesa","",IF($E19="Persa","RECUPERA CON INCENTIVO",IF(AND($I19&lt;&gt;"",TODAY()&gt;=EDATE($I19,IMPOSTAZIONI!$C$10)),"RECUPERA CON INCENTIVO",IF($E19="Mantenimento",IF(AND($I19&lt;&gt;"",TODAY()-$I19&gt;=IMPOSTAZIONI!$C$9),"RICHIAMO MANTENIMENTO",""),IF($E19="In ciclo",IF(N($D19)&gt;=IMPOSTAZIONI!$C$5,"ULTIMA SEDUTA",IF(AND($I19&lt;&gt;"",TODAY()-$I19&gt;IMPOSTAZIONI!$C$7),"FUORI FINESTRA","PRENDI APPUNTAMENTO")),IF($E19="Da contattare","PRENDI APPUNTAMENTO","")))))))))))</f>
        <v/>
      </c>
      <c r="T19" s="17">
        <f>IF($S19="","",IFERROR(MATCH($S19,IMPOSTAZIONI!$F$5:$F$12,0),9)*100000000+(9999-MIN(9999,ROUND(N($O19)/100,0)))*10000+ROW())</f>
        <v/>
      </c>
    </row>
    <row r="20">
      <c r="A20" s="11" t="n"/>
      <c r="B20" s="12">
        <f>IF($S20="","",IFERROR(MATCH($S20,IMPOSTAZIONI!$F$5:$F$12,0),9)&amp;" · "&amp;$S20)</f>
        <v/>
      </c>
      <c r="C20" s="13" t="n"/>
      <c r="D20" s="14" t="n"/>
      <c r="E20" s="11" t="n"/>
      <c r="F20" s="15">
        <f>IF($A20="","",IF(LEN(IF(AND($C20&lt;&gt;"",$C20=TODAY())," · oggi in centro","")&amp;IF(AND($C20&lt;&gt;"",$C20&gt;=TODAY(),N($D20)+1&gt;=IMPOSTAZIONI!$C$5)," · ultima del ciclo, proponi il mantenimento","")&amp;IF(AND($C20&lt;&gt;"",$C20&gt;=TODAY(),$I20&lt;&gt;"",$C20-$I20&lt;IMPOSTAZIONI!$C$6)," · rientro anticipato, meno di "&amp;IMPOSTAZIONI!$C$6&amp;" giorni","")&amp;IF(AND($C20&lt;&gt;"",$C20&gt;=TODAY(),$I20&lt;&gt;"",$C20-$I20&gt;IMPOSTAZIONI!$C$7)," · rientro oltre "&amp;IMPOSTAZIONI!$C$7&amp;" giorni",""))=0,"",MID(IF(AND($C20&lt;&gt;"",$C20=TODAY())," · oggi in centro","")&amp;IF(AND($C20&lt;&gt;"",$C20&gt;=TODAY(),N($D20)+1&gt;=IMPOSTAZIONI!$C$5)," · ultima del ciclo, proponi il mantenimento","")&amp;IF(AND($C20&lt;&gt;"",$C20&gt;=TODAY(),$I20&lt;&gt;"",$C20-$I20&lt;IMPOSTAZIONI!$C$6)," · rientro anticipato, meno di "&amp;IMPOSTAZIONI!$C$6&amp;" giorni","")&amp;IF(AND($C20&lt;&gt;"",$C20&gt;=TODAY(),$I20&lt;&gt;"",$C20-$I20&gt;IMPOSTAZIONI!$C$7)," · rientro oltre "&amp;IMPOSTAZIONI!$C$7&amp;" giorni",""),4,300)))</f>
        <v/>
      </c>
      <c r="G20" s="16" t="n"/>
      <c r="H20" s="11" t="n"/>
      <c r="I20" s="13" t="n"/>
      <c r="J20" s="17">
        <f>IF($I20="","",TODAY()-$I20)</f>
        <v/>
      </c>
      <c r="K20" s="17">
        <f>IF($C20="","",$C20-TODAY())</f>
        <v/>
      </c>
      <c r="L20" s="15">
        <f>IF($A20="","",N($D20)&amp;"/"&amp;IMPOSTAZIONI!$C$5)</f>
        <v/>
      </c>
      <c r="M20" s="15">
        <f>IF($S20="","",IF($S20="RECUPERA CON INCENTIVO",INCENTIVI!$C$7,IF($S20="RICHIAMO MANTENIMENTO",INCENTIVI!$C$6,IF(OR($S20="FUORI FINESTRA",$S20="ULTIMA SEDUTA"),INCENTIVI!$C$5,""))))</f>
        <v/>
      </c>
      <c r="N20" s="18" t="n"/>
      <c r="O20" s="19">
        <f>IF($A20="","",N($D20)*N($N20))</f>
        <v/>
      </c>
      <c r="P20" s="19">
        <f>IF($A20="","",MAX(0,(IMPOSTAZIONI!$C$5-N($D20))*N($N20)))</f>
        <v/>
      </c>
      <c r="Q20" s="13" t="n"/>
      <c r="R20" s="11" t="n"/>
      <c r="S20" s="15">
        <f>IF($A20="","",IF(AND($C20&lt;&gt;"",$C20&lt;TODAY(),OR($I20="",$I20&lt;$C20)),"APPUNTAMENTO SALTATO",IF(AND($C20&lt;&gt;"",$C20-TODAY()=1),"CONFERMA DOMANI",IF(AND($C20&lt;&gt;"",$C20-TODAY()=IMPOSTAZIONI!$C$8),"CHIAMA PER CONFERMA",IF(AND($C20&lt;&gt;"",$C20&gt;=TODAY()),"",IF($E20="Sospesa","",IF($E20="Persa","RECUPERA CON INCENTIVO",IF(AND($I20&lt;&gt;"",TODAY()&gt;=EDATE($I20,IMPOSTAZIONI!$C$10)),"RECUPERA CON INCENTIVO",IF($E20="Mantenimento",IF(AND($I20&lt;&gt;"",TODAY()-$I20&gt;=IMPOSTAZIONI!$C$9),"RICHIAMO MANTENIMENTO",""),IF($E20="In ciclo",IF(N($D20)&gt;=IMPOSTAZIONI!$C$5,"ULTIMA SEDUTA",IF(AND($I20&lt;&gt;"",TODAY()-$I20&gt;IMPOSTAZIONI!$C$7),"FUORI FINESTRA","PRENDI APPUNTAMENTO")),IF($E20="Da contattare","PRENDI APPUNTAMENTO","")))))))))))</f>
        <v/>
      </c>
      <c r="T20" s="17">
        <f>IF($S20="","",IFERROR(MATCH($S20,IMPOSTAZIONI!$F$5:$F$12,0),9)*100000000+(9999-MIN(9999,ROUND(N($O20)/100,0)))*10000+ROW())</f>
        <v/>
      </c>
    </row>
    <row r="21">
      <c r="A21" s="11" t="n"/>
      <c r="B21" s="12">
        <f>IF($S21="","",IFERROR(MATCH($S21,IMPOSTAZIONI!$F$5:$F$12,0),9)&amp;" · "&amp;$S21)</f>
        <v/>
      </c>
      <c r="C21" s="13" t="n"/>
      <c r="D21" s="14" t="n"/>
      <c r="E21" s="11" t="n"/>
      <c r="F21" s="15">
        <f>IF($A21="","",IF(LEN(IF(AND($C21&lt;&gt;"",$C21=TODAY())," · oggi in centro","")&amp;IF(AND($C21&lt;&gt;"",$C21&gt;=TODAY(),N($D21)+1&gt;=IMPOSTAZIONI!$C$5)," · ultima del ciclo, proponi il mantenimento","")&amp;IF(AND($C21&lt;&gt;"",$C21&gt;=TODAY(),$I21&lt;&gt;"",$C21-$I21&lt;IMPOSTAZIONI!$C$6)," · rientro anticipato, meno di "&amp;IMPOSTAZIONI!$C$6&amp;" giorni","")&amp;IF(AND($C21&lt;&gt;"",$C21&gt;=TODAY(),$I21&lt;&gt;"",$C21-$I21&gt;IMPOSTAZIONI!$C$7)," · rientro oltre "&amp;IMPOSTAZIONI!$C$7&amp;" giorni",""))=0,"",MID(IF(AND($C21&lt;&gt;"",$C21=TODAY())," · oggi in centro","")&amp;IF(AND($C21&lt;&gt;"",$C21&gt;=TODAY(),N($D21)+1&gt;=IMPOSTAZIONI!$C$5)," · ultima del ciclo, proponi il mantenimento","")&amp;IF(AND($C21&lt;&gt;"",$C21&gt;=TODAY(),$I21&lt;&gt;"",$C21-$I21&lt;IMPOSTAZIONI!$C$6)," · rientro anticipato, meno di "&amp;IMPOSTAZIONI!$C$6&amp;" giorni","")&amp;IF(AND($C21&lt;&gt;"",$C21&gt;=TODAY(),$I21&lt;&gt;"",$C21-$I21&gt;IMPOSTAZIONI!$C$7)," · rientro oltre "&amp;IMPOSTAZIONI!$C$7&amp;" giorni",""),4,300)))</f>
        <v/>
      </c>
      <c r="G21" s="16" t="n"/>
      <c r="H21" s="11" t="n"/>
      <c r="I21" s="13" t="n"/>
      <c r="J21" s="17">
        <f>IF($I21="","",TODAY()-$I21)</f>
        <v/>
      </c>
      <c r="K21" s="17">
        <f>IF($C21="","",$C21-TODAY())</f>
        <v/>
      </c>
      <c r="L21" s="15">
        <f>IF($A21="","",N($D21)&amp;"/"&amp;IMPOSTAZIONI!$C$5)</f>
        <v/>
      </c>
      <c r="M21" s="15">
        <f>IF($S21="","",IF($S21="RECUPERA CON INCENTIVO",INCENTIVI!$C$7,IF($S21="RICHIAMO MANTENIMENTO",INCENTIVI!$C$6,IF(OR($S21="FUORI FINESTRA",$S21="ULTIMA SEDUTA"),INCENTIVI!$C$5,""))))</f>
        <v/>
      </c>
      <c r="N21" s="18" t="n"/>
      <c r="O21" s="19">
        <f>IF($A21="","",N($D21)*N($N21))</f>
        <v/>
      </c>
      <c r="P21" s="19">
        <f>IF($A21="","",MAX(0,(IMPOSTAZIONI!$C$5-N($D21))*N($N21)))</f>
        <v/>
      </c>
      <c r="Q21" s="13" t="n"/>
      <c r="R21" s="11" t="n"/>
      <c r="S21" s="15">
        <f>IF($A21="","",IF(AND($C21&lt;&gt;"",$C21&lt;TODAY(),OR($I21="",$I21&lt;$C21)),"APPUNTAMENTO SALTATO",IF(AND($C21&lt;&gt;"",$C21-TODAY()=1),"CONFERMA DOMANI",IF(AND($C21&lt;&gt;"",$C21-TODAY()=IMPOSTAZIONI!$C$8),"CHIAMA PER CONFERMA",IF(AND($C21&lt;&gt;"",$C21&gt;=TODAY()),"",IF($E21="Sospesa","",IF($E21="Persa","RECUPERA CON INCENTIVO",IF(AND($I21&lt;&gt;"",TODAY()&gt;=EDATE($I21,IMPOSTAZIONI!$C$10)),"RECUPERA CON INCENTIVO",IF($E21="Mantenimento",IF(AND($I21&lt;&gt;"",TODAY()-$I21&gt;=IMPOSTAZIONI!$C$9),"RICHIAMO MANTENIMENTO",""),IF($E21="In ciclo",IF(N($D21)&gt;=IMPOSTAZIONI!$C$5,"ULTIMA SEDUTA",IF(AND($I21&lt;&gt;"",TODAY()-$I21&gt;IMPOSTAZIONI!$C$7),"FUORI FINESTRA","PRENDI APPUNTAMENTO")),IF($E21="Da contattare","PRENDI APPUNTAMENTO","")))))))))))</f>
        <v/>
      </c>
      <c r="T21" s="17">
        <f>IF($S21="","",IFERROR(MATCH($S21,IMPOSTAZIONI!$F$5:$F$12,0),9)*100000000+(9999-MIN(9999,ROUND(N($O21)/100,0)))*10000+ROW())</f>
        <v/>
      </c>
    </row>
    <row r="22">
      <c r="A22" s="11" t="n"/>
      <c r="B22" s="12">
        <f>IF($S22="","",IFERROR(MATCH($S22,IMPOSTAZIONI!$F$5:$F$12,0),9)&amp;" · "&amp;$S22)</f>
        <v/>
      </c>
      <c r="C22" s="13" t="n"/>
      <c r="D22" s="14" t="n"/>
      <c r="E22" s="11" t="n"/>
      <c r="F22" s="15">
        <f>IF($A22="","",IF(LEN(IF(AND($C22&lt;&gt;"",$C22=TODAY())," · oggi in centro","")&amp;IF(AND($C22&lt;&gt;"",$C22&gt;=TODAY(),N($D22)+1&gt;=IMPOSTAZIONI!$C$5)," · ultima del ciclo, proponi il mantenimento","")&amp;IF(AND($C22&lt;&gt;"",$C22&gt;=TODAY(),$I22&lt;&gt;"",$C22-$I22&lt;IMPOSTAZIONI!$C$6)," · rientro anticipato, meno di "&amp;IMPOSTAZIONI!$C$6&amp;" giorni","")&amp;IF(AND($C22&lt;&gt;"",$C22&gt;=TODAY(),$I22&lt;&gt;"",$C22-$I22&gt;IMPOSTAZIONI!$C$7)," · rientro oltre "&amp;IMPOSTAZIONI!$C$7&amp;" giorni",""))=0,"",MID(IF(AND($C22&lt;&gt;"",$C22=TODAY())," · oggi in centro","")&amp;IF(AND($C22&lt;&gt;"",$C22&gt;=TODAY(),N($D22)+1&gt;=IMPOSTAZIONI!$C$5)," · ultima del ciclo, proponi il mantenimento","")&amp;IF(AND($C22&lt;&gt;"",$C22&gt;=TODAY(),$I22&lt;&gt;"",$C22-$I22&lt;IMPOSTAZIONI!$C$6)," · rientro anticipato, meno di "&amp;IMPOSTAZIONI!$C$6&amp;" giorni","")&amp;IF(AND($C22&lt;&gt;"",$C22&gt;=TODAY(),$I22&lt;&gt;"",$C22-$I22&gt;IMPOSTAZIONI!$C$7)," · rientro oltre "&amp;IMPOSTAZIONI!$C$7&amp;" giorni",""),4,300)))</f>
        <v/>
      </c>
      <c r="G22" s="16" t="n"/>
      <c r="H22" s="11" t="n"/>
      <c r="I22" s="13" t="n"/>
      <c r="J22" s="17">
        <f>IF($I22="","",TODAY()-$I22)</f>
        <v/>
      </c>
      <c r="K22" s="17">
        <f>IF($C22="","",$C22-TODAY())</f>
        <v/>
      </c>
      <c r="L22" s="15">
        <f>IF($A22="","",N($D22)&amp;"/"&amp;IMPOSTAZIONI!$C$5)</f>
        <v/>
      </c>
      <c r="M22" s="15">
        <f>IF($S22="","",IF($S22="RECUPERA CON INCENTIVO",INCENTIVI!$C$7,IF($S22="RICHIAMO MANTENIMENTO",INCENTIVI!$C$6,IF(OR($S22="FUORI FINESTRA",$S22="ULTIMA SEDUTA"),INCENTIVI!$C$5,""))))</f>
        <v/>
      </c>
      <c r="N22" s="18" t="n"/>
      <c r="O22" s="19">
        <f>IF($A22="","",N($D22)*N($N22))</f>
        <v/>
      </c>
      <c r="P22" s="19">
        <f>IF($A22="","",MAX(0,(IMPOSTAZIONI!$C$5-N($D22))*N($N22)))</f>
        <v/>
      </c>
      <c r="Q22" s="13" t="n"/>
      <c r="R22" s="11" t="n"/>
      <c r="S22" s="15">
        <f>IF($A22="","",IF(AND($C22&lt;&gt;"",$C22&lt;TODAY(),OR($I22="",$I22&lt;$C22)),"APPUNTAMENTO SALTATO",IF(AND($C22&lt;&gt;"",$C22-TODAY()=1),"CONFERMA DOMANI",IF(AND($C22&lt;&gt;"",$C22-TODAY()=IMPOSTAZIONI!$C$8),"CHIAMA PER CONFERMA",IF(AND($C22&lt;&gt;"",$C22&gt;=TODAY()),"",IF($E22="Sospesa","",IF($E22="Persa","RECUPERA CON INCENTIVO",IF(AND($I22&lt;&gt;"",TODAY()&gt;=EDATE($I22,IMPOSTAZIONI!$C$10)),"RECUPERA CON INCENTIVO",IF($E22="Mantenimento",IF(AND($I22&lt;&gt;"",TODAY()-$I22&gt;=IMPOSTAZIONI!$C$9),"RICHIAMO MANTENIMENTO",""),IF($E22="In ciclo",IF(N($D22)&gt;=IMPOSTAZIONI!$C$5,"ULTIMA SEDUTA",IF(AND($I22&lt;&gt;"",TODAY()-$I22&gt;IMPOSTAZIONI!$C$7),"FUORI FINESTRA","PRENDI APPUNTAMENTO")),IF($E22="Da contattare","PRENDI APPUNTAMENTO","")))))))))))</f>
        <v/>
      </c>
      <c r="T22" s="17">
        <f>IF($S22="","",IFERROR(MATCH($S22,IMPOSTAZIONI!$F$5:$F$12,0),9)*100000000+(9999-MIN(9999,ROUND(N($O22)/100,0)))*10000+ROW())</f>
        <v/>
      </c>
    </row>
    <row r="23">
      <c r="A23" s="11" t="n"/>
      <c r="B23" s="12">
        <f>IF($S23="","",IFERROR(MATCH($S23,IMPOSTAZIONI!$F$5:$F$12,0),9)&amp;" · "&amp;$S23)</f>
        <v/>
      </c>
      <c r="C23" s="13" t="n"/>
      <c r="D23" s="14" t="n"/>
      <c r="E23" s="11" t="n"/>
      <c r="F23" s="15">
        <f>IF($A23="","",IF(LEN(IF(AND($C23&lt;&gt;"",$C23=TODAY())," · oggi in centro","")&amp;IF(AND($C23&lt;&gt;"",$C23&gt;=TODAY(),N($D23)+1&gt;=IMPOSTAZIONI!$C$5)," · ultima del ciclo, proponi il mantenimento","")&amp;IF(AND($C23&lt;&gt;"",$C23&gt;=TODAY(),$I23&lt;&gt;"",$C23-$I23&lt;IMPOSTAZIONI!$C$6)," · rientro anticipato, meno di "&amp;IMPOSTAZIONI!$C$6&amp;" giorni","")&amp;IF(AND($C23&lt;&gt;"",$C23&gt;=TODAY(),$I23&lt;&gt;"",$C23-$I23&gt;IMPOSTAZIONI!$C$7)," · rientro oltre "&amp;IMPOSTAZIONI!$C$7&amp;" giorni",""))=0,"",MID(IF(AND($C23&lt;&gt;"",$C23=TODAY())," · oggi in centro","")&amp;IF(AND($C23&lt;&gt;"",$C23&gt;=TODAY(),N($D23)+1&gt;=IMPOSTAZIONI!$C$5)," · ultima del ciclo, proponi il mantenimento","")&amp;IF(AND($C23&lt;&gt;"",$C23&gt;=TODAY(),$I23&lt;&gt;"",$C23-$I23&lt;IMPOSTAZIONI!$C$6)," · rientro anticipato, meno di "&amp;IMPOSTAZIONI!$C$6&amp;" giorni","")&amp;IF(AND($C23&lt;&gt;"",$C23&gt;=TODAY(),$I23&lt;&gt;"",$C23-$I23&gt;IMPOSTAZIONI!$C$7)," · rientro oltre "&amp;IMPOSTAZIONI!$C$7&amp;" giorni",""),4,300)))</f>
        <v/>
      </c>
      <c r="G23" s="16" t="n"/>
      <c r="H23" s="11" t="n"/>
      <c r="I23" s="13" t="n"/>
      <c r="J23" s="17">
        <f>IF($I23="","",TODAY()-$I23)</f>
        <v/>
      </c>
      <c r="K23" s="17">
        <f>IF($C23="","",$C23-TODAY())</f>
        <v/>
      </c>
      <c r="L23" s="15">
        <f>IF($A23="","",N($D23)&amp;"/"&amp;IMPOSTAZIONI!$C$5)</f>
        <v/>
      </c>
      <c r="M23" s="15">
        <f>IF($S23="","",IF($S23="RECUPERA CON INCENTIVO",INCENTIVI!$C$7,IF($S23="RICHIAMO MANTENIMENTO",INCENTIVI!$C$6,IF(OR($S23="FUORI FINESTRA",$S23="ULTIMA SEDUTA"),INCENTIVI!$C$5,""))))</f>
        <v/>
      </c>
      <c r="N23" s="18" t="n"/>
      <c r="O23" s="19">
        <f>IF($A23="","",N($D23)*N($N23))</f>
        <v/>
      </c>
      <c r="P23" s="19">
        <f>IF($A23="","",MAX(0,(IMPOSTAZIONI!$C$5-N($D23))*N($N23)))</f>
        <v/>
      </c>
      <c r="Q23" s="13" t="n"/>
      <c r="R23" s="11" t="n"/>
      <c r="S23" s="15">
        <f>IF($A23="","",IF(AND($C23&lt;&gt;"",$C23&lt;TODAY(),OR($I23="",$I23&lt;$C23)),"APPUNTAMENTO SALTATO",IF(AND($C23&lt;&gt;"",$C23-TODAY()=1),"CONFERMA DOMANI",IF(AND($C23&lt;&gt;"",$C23-TODAY()=IMPOSTAZIONI!$C$8),"CHIAMA PER CONFERMA",IF(AND($C23&lt;&gt;"",$C23&gt;=TODAY()),"",IF($E23="Sospesa","",IF($E23="Persa","RECUPERA CON INCENTIVO",IF(AND($I23&lt;&gt;"",TODAY()&gt;=EDATE($I23,IMPOSTAZIONI!$C$10)),"RECUPERA CON INCENTIVO",IF($E23="Mantenimento",IF(AND($I23&lt;&gt;"",TODAY()-$I23&gt;=IMPOSTAZIONI!$C$9),"RICHIAMO MANTENIMENTO",""),IF($E23="In ciclo",IF(N($D23)&gt;=IMPOSTAZIONI!$C$5,"ULTIMA SEDUTA",IF(AND($I23&lt;&gt;"",TODAY()-$I23&gt;IMPOSTAZIONI!$C$7),"FUORI FINESTRA","PRENDI APPUNTAMENTO")),IF($E23="Da contattare","PRENDI APPUNTAMENTO","")))))))))))</f>
        <v/>
      </c>
      <c r="T23" s="17">
        <f>IF($S23="","",IFERROR(MATCH($S23,IMPOSTAZIONI!$F$5:$F$12,0),9)*100000000+(9999-MIN(9999,ROUND(N($O23)/100,0)))*10000+ROW())</f>
        <v/>
      </c>
    </row>
    <row r="24">
      <c r="A24" s="11" t="n"/>
      <c r="B24" s="12">
        <f>IF($S24="","",IFERROR(MATCH($S24,IMPOSTAZIONI!$F$5:$F$12,0),9)&amp;" · "&amp;$S24)</f>
        <v/>
      </c>
      <c r="C24" s="13" t="n"/>
      <c r="D24" s="14" t="n"/>
      <c r="E24" s="11" t="n"/>
      <c r="F24" s="15">
        <f>IF($A24="","",IF(LEN(IF(AND($C24&lt;&gt;"",$C24=TODAY())," · oggi in centro","")&amp;IF(AND($C24&lt;&gt;"",$C24&gt;=TODAY(),N($D24)+1&gt;=IMPOSTAZIONI!$C$5)," · ultima del ciclo, proponi il mantenimento","")&amp;IF(AND($C24&lt;&gt;"",$C24&gt;=TODAY(),$I24&lt;&gt;"",$C24-$I24&lt;IMPOSTAZIONI!$C$6)," · rientro anticipato, meno di "&amp;IMPOSTAZIONI!$C$6&amp;" giorni","")&amp;IF(AND($C24&lt;&gt;"",$C24&gt;=TODAY(),$I24&lt;&gt;"",$C24-$I24&gt;IMPOSTAZIONI!$C$7)," · rientro oltre "&amp;IMPOSTAZIONI!$C$7&amp;" giorni",""))=0,"",MID(IF(AND($C24&lt;&gt;"",$C24=TODAY())," · oggi in centro","")&amp;IF(AND($C24&lt;&gt;"",$C24&gt;=TODAY(),N($D24)+1&gt;=IMPOSTAZIONI!$C$5)," · ultima del ciclo, proponi il mantenimento","")&amp;IF(AND($C24&lt;&gt;"",$C24&gt;=TODAY(),$I24&lt;&gt;"",$C24-$I24&lt;IMPOSTAZIONI!$C$6)," · rientro anticipato, meno di "&amp;IMPOSTAZIONI!$C$6&amp;" giorni","")&amp;IF(AND($C24&lt;&gt;"",$C24&gt;=TODAY(),$I24&lt;&gt;"",$C24-$I24&gt;IMPOSTAZIONI!$C$7)," · rientro oltre "&amp;IMPOSTAZIONI!$C$7&amp;" giorni",""),4,300)))</f>
        <v/>
      </c>
      <c r="G24" s="16" t="n"/>
      <c r="H24" s="11" t="n"/>
      <c r="I24" s="13" t="n"/>
      <c r="J24" s="17">
        <f>IF($I24="","",TODAY()-$I24)</f>
        <v/>
      </c>
      <c r="K24" s="17">
        <f>IF($C24="","",$C24-TODAY())</f>
        <v/>
      </c>
      <c r="L24" s="15">
        <f>IF($A24="","",N($D24)&amp;"/"&amp;IMPOSTAZIONI!$C$5)</f>
        <v/>
      </c>
      <c r="M24" s="15">
        <f>IF($S24="","",IF($S24="RECUPERA CON INCENTIVO",INCENTIVI!$C$7,IF($S24="RICHIAMO MANTENIMENTO",INCENTIVI!$C$6,IF(OR($S24="FUORI FINESTRA",$S24="ULTIMA SEDUTA"),INCENTIVI!$C$5,""))))</f>
        <v/>
      </c>
      <c r="N24" s="18" t="n"/>
      <c r="O24" s="19">
        <f>IF($A24="","",N($D24)*N($N24))</f>
        <v/>
      </c>
      <c r="P24" s="19">
        <f>IF($A24="","",MAX(0,(IMPOSTAZIONI!$C$5-N($D24))*N($N24)))</f>
        <v/>
      </c>
      <c r="Q24" s="13" t="n"/>
      <c r="R24" s="11" t="n"/>
      <c r="S24" s="15">
        <f>IF($A24="","",IF(AND($C24&lt;&gt;"",$C24&lt;TODAY(),OR($I24="",$I24&lt;$C24)),"APPUNTAMENTO SALTATO",IF(AND($C24&lt;&gt;"",$C24-TODAY()=1),"CONFERMA DOMANI",IF(AND($C24&lt;&gt;"",$C24-TODAY()=IMPOSTAZIONI!$C$8),"CHIAMA PER CONFERMA",IF(AND($C24&lt;&gt;"",$C24&gt;=TODAY()),"",IF($E24="Sospesa","",IF($E24="Persa","RECUPERA CON INCENTIVO",IF(AND($I24&lt;&gt;"",TODAY()&gt;=EDATE($I24,IMPOSTAZIONI!$C$10)),"RECUPERA CON INCENTIVO",IF($E24="Mantenimento",IF(AND($I24&lt;&gt;"",TODAY()-$I24&gt;=IMPOSTAZIONI!$C$9),"RICHIAMO MANTENIMENTO",""),IF($E24="In ciclo",IF(N($D24)&gt;=IMPOSTAZIONI!$C$5,"ULTIMA SEDUTA",IF(AND($I24&lt;&gt;"",TODAY()-$I24&gt;IMPOSTAZIONI!$C$7),"FUORI FINESTRA","PRENDI APPUNTAMENTO")),IF($E24="Da contattare","PRENDI APPUNTAMENTO","")))))))))))</f>
        <v/>
      </c>
      <c r="T24" s="17">
        <f>IF($S24="","",IFERROR(MATCH($S24,IMPOSTAZIONI!$F$5:$F$12,0),9)*100000000+(9999-MIN(9999,ROUND(N($O24)/100,0)))*10000+ROW())</f>
        <v/>
      </c>
    </row>
    <row r="25">
      <c r="A25" s="11" t="n"/>
      <c r="B25" s="12">
        <f>IF($S25="","",IFERROR(MATCH($S25,IMPOSTAZIONI!$F$5:$F$12,0),9)&amp;" · "&amp;$S25)</f>
        <v/>
      </c>
      <c r="C25" s="13" t="n"/>
      <c r="D25" s="14" t="n"/>
      <c r="E25" s="11" t="n"/>
      <c r="F25" s="15">
        <f>IF($A25="","",IF(LEN(IF(AND($C25&lt;&gt;"",$C25=TODAY())," · oggi in centro","")&amp;IF(AND($C25&lt;&gt;"",$C25&gt;=TODAY(),N($D25)+1&gt;=IMPOSTAZIONI!$C$5)," · ultima del ciclo, proponi il mantenimento","")&amp;IF(AND($C25&lt;&gt;"",$C25&gt;=TODAY(),$I25&lt;&gt;"",$C25-$I25&lt;IMPOSTAZIONI!$C$6)," · rientro anticipato, meno di "&amp;IMPOSTAZIONI!$C$6&amp;" giorni","")&amp;IF(AND($C25&lt;&gt;"",$C25&gt;=TODAY(),$I25&lt;&gt;"",$C25-$I25&gt;IMPOSTAZIONI!$C$7)," · rientro oltre "&amp;IMPOSTAZIONI!$C$7&amp;" giorni",""))=0,"",MID(IF(AND($C25&lt;&gt;"",$C25=TODAY())," · oggi in centro","")&amp;IF(AND($C25&lt;&gt;"",$C25&gt;=TODAY(),N($D25)+1&gt;=IMPOSTAZIONI!$C$5)," · ultima del ciclo, proponi il mantenimento","")&amp;IF(AND($C25&lt;&gt;"",$C25&gt;=TODAY(),$I25&lt;&gt;"",$C25-$I25&lt;IMPOSTAZIONI!$C$6)," · rientro anticipato, meno di "&amp;IMPOSTAZIONI!$C$6&amp;" giorni","")&amp;IF(AND($C25&lt;&gt;"",$C25&gt;=TODAY(),$I25&lt;&gt;"",$C25-$I25&gt;IMPOSTAZIONI!$C$7)," · rientro oltre "&amp;IMPOSTAZIONI!$C$7&amp;" giorni",""),4,300)))</f>
        <v/>
      </c>
      <c r="G25" s="16" t="n"/>
      <c r="H25" s="11" t="n"/>
      <c r="I25" s="13" t="n"/>
      <c r="J25" s="17">
        <f>IF($I25="","",TODAY()-$I25)</f>
        <v/>
      </c>
      <c r="K25" s="17">
        <f>IF($C25="","",$C25-TODAY())</f>
        <v/>
      </c>
      <c r="L25" s="15">
        <f>IF($A25="","",N($D25)&amp;"/"&amp;IMPOSTAZIONI!$C$5)</f>
        <v/>
      </c>
      <c r="M25" s="15">
        <f>IF($S25="","",IF($S25="RECUPERA CON INCENTIVO",INCENTIVI!$C$7,IF($S25="RICHIAMO MANTENIMENTO",INCENTIVI!$C$6,IF(OR($S25="FUORI FINESTRA",$S25="ULTIMA SEDUTA"),INCENTIVI!$C$5,""))))</f>
        <v/>
      </c>
      <c r="N25" s="18" t="n"/>
      <c r="O25" s="19">
        <f>IF($A25="","",N($D25)*N($N25))</f>
        <v/>
      </c>
      <c r="P25" s="19">
        <f>IF($A25="","",MAX(0,(IMPOSTAZIONI!$C$5-N($D25))*N($N25)))</f>
        <v/>
      </c>
      <c r="Q25" s="13" t="n"/>
      <c r="R25" s="11" t="n"/>
      <c r="S25" s="15">
        <f>IF($A25="","",IF(AND($C25&lt;&gt;"",$C25&lt;TODAY(),OR($I25="",$I25&lt;$C25)),"APPUNTAMENTO SALTATO",IF(AND($C25&lt;&gt;"",$C25-TODAY()=1),"CONFERMA DOMANI",IF(AND($C25&lt;&gt;"",$C25-TODAY()=IMPOSTAZIONI!$C$8),"CHIAMA PER CONFERMA",IF(AND($C25&lt;&gt;"",$C25&gt;=TODAY()),"",IF($E25="Sospesa","",IF($E25="Persa","RECUPERA CON INCENTIVO",IF(AND($I25&lt;&gt;"",TODAY()&gt;=EDATE($I25,IMPOSTAZIONI!$C$10)),"RECUPERA CON INCENTIVO",IF($E25="Mantenimento",IF(AND($I25&lt;&gt;"",TODAY()-$I25&gt;=IMPOSTAZIONI!$C$9),"RICHIAMO MANTENIMENTO",""),IF($E25="In ciclo",IF(N($D25)&gt;=IMPOSTAZIONI!$C$5,"ULTIMA SEDUTA",IF(AND($I25&lt;&gt;"",TODAY()-$I25&gt;IMPOSTAZIONI!$C$7),"FUORI FINESTRA","PRENDI APPUNTAMENTO")),IF($E25="Da contattare","PRENDI APPUNTAMENTO","")))))))))))</f>
        <v/>
      </c>
      <c r="T25" s="17">
        <f>IF($S25="","",IFERROR(MATCH($S25,IMPOSTAZIONI!$F$5:$F$12,0),9)*100000000+(9999-MIN(9999,ROUND(N($O25)/100,0)))*10000+ROW())</f>
        <v/>
      </c>
    </row>
    <row r="26">
      <c r="A26" s="11" t="n"/>
      <c r="B26" s="12">
        <f>IF($S26="","",IFERROR(MATCH($S26,IMPOSTAZIONI!$F$5:$F$12,0),9)&amp;" · "&amp;$S26)</f>
        <v/>
      </c>
      <c r="C26" s="13" t="n"/>
      <c r="D26" s="14" t="n"/>
      <c r="E26" s="11" t="n"/>
      <c r="F26" s="15">
        <f>IF($A26="","",IF(LEN(IF(AND($C26&lt;&gt;"",$C26=TODAY())," · oggi in centro","")&amp;IF(AND($C26&lt;&gt;"",$C26&gt;=TODAY(),N($D26)+1&gt;=IMPOSTAZIONI!$C$5)," · ultima del ciclo, proponi il mantenimento","")&amp;IF(AND($C26&lt;&gt;"",$C26&gt;=TODAY(),$I26&lt;&gt;"",$C26-$I26&lt;IMPOSTAZIONI!$C$6)," · rientro anticipato, meno di "&amp;IMPOSTAZIONI!$C$6&amp;" giorni","")&amp;IF(AND($C26&lt;&gt;"",$C26&gt;=TODAY(),$I26&lt;&gt;"",$C26-$I26&gt;IMPOSTAZIONI!$C$7)," · rientro oltre "&amp;IMPOSTAZIONI!$C$7&amp;" giorni",""))=0,"",MID(IF(AND($C26&lt;&gt;"",$C26=TODAY())," · oggi in centro","")&amp;IF(AND($C26&lt;&gt;"",$C26&gt;=TODAY(),N($D26)+1&gt;=IMPOSTAZIONI!$C$5)," · ultima del ciclo, proponi il mantenimento","")&amp;IF(AND($C26&lt;&gt;"",$C26&gt;=TODAY(),$I26&lt;&gt;"",$C26-$I26&lt;IMPOSTAZIONI!$C$6)," · rientro anticipato, meno di "&amp;IMPOSTAZIONI!$C$6&amp;" giorni","")&amp;IF(AND($C26&lt;&gt;"",$C26&gt;=TODAY(),$I26&lt;&gt;"",$C26-$I26&gt;IMPOSTAZIONI!$C$7)," · rientro oltre "&amp;IMPOSTAZIONI!$C$7&amp;" giorni",""),4,300)))</f>
        <v/>
      </c>
      <c r="G26" s="16" t="n"/>
      <c r="H26" s="11" t="n"/>
      <c r="I26" s="13" t="n"/>
      <c r="J26" s="17">
        <f>IF($I26="","",TODAY()-$I26)</f>
        <v/>
      </c>
      <c r="K26" s="17">
        <f>IF($C26="","",$C26-TODAY())</f>
        <v/>
      </c>
      <c r="L26" s="15">
        <f>IF($A26="","",N($D26)&amp;"/"&amp;IMPOSTAZIONI!$C$5)</f>
        <v/>
      </c>
      <c r="M26" s="15">
        <f>IF($S26="","",IF($S26="RECUPERA CON INCENTIVO",INCENTIVI!$C$7,IF($S26="RICHIAMO MANTENIMENTO",INCENTIVI!$C$6,IF(OR($S26="FUORI FINESTRA",$S26="ULTIMA SEDUTA"),INCENTIVI!$C$5,""))))</f>
        <v/>
      </c>
      <c r="N26" s="18" t="n"/>
      <c r="O26" s="19">
        <f>IF($A26="","",N($D26)*N($N26))</f>
        <v/>
      </c>
      <c r="P26" s="19">
        <f>IF($A26="","",MAX(0,(IMPOSTAZIONI!$C$5-N($D26))*N($N26)))</f>
        <v/>
      </c>
      <c r="Q26" s="13" t="n"/>
      <c r="R26" s="11" t="n"/>
      <c r="S26" s="15">
        <f>IF($A26="","",IF(AND($C26&lt;&gt;"",$C26&lt;TODAY(),OR($I26="",$I26&lt;$C26)),"APPUNTAMENTO SALTATO",IF(AND($C26&lt;&gt;"",$C26-TODAY()=1),"CONFERMA DOMANI",IF(AND($C26&lt;&gt;"",$C26-TODAY()=IMPOSTAZIONI!$C$8),"CHIAMA PER CONFERMA",IF(AND($C26&lt;&gt;"",$C26&gt;=TODAY()),"",IF($E26="Sospesa","",IF($E26="Persa","RECUPERA CON INCENTIVO",IF(AND($I26&lt;&gt;"",TODAY()&gt;=EDATE($I26,IMPOSTAZIONI!$C$10)),"RECUPERA CON INCENTIVO",IF($E26="Mantenimento",IF(AND($I26&lt;&gt;"",TODAY()-$I26&gt;=IMPOSTAZIONI!$C$9),"RICHIAMO MANTENIMENTO",""),IF($E26="In ciclo",IF(N($D26)&gt;=IMPOSTAZIONI!$C$5,"ULTIMA SEDUTA",IF(AND($I26&lt;&gt;"",TODAY()-$I26&gt;IMPOSTAZIONI!$C$7),"FUORI FINESTRA","PRENDI APPUNTAMENTO")),IF($E26="Da contattare","PRENDI APPUNTAMENTO","")))))))))))</f>
        <v/>
      </c>
      <c r="T26" s="17">
        <f>IF($S26="","",IFERROR(MATCH($S26,IMPOSTAZIONI!$F$5:$F$12,0),9)*100000000+(9999-MIN(9999,ROUND(N($O26)/100,0)))*10000+ROW())</f>
        <v/>
      </c>
    </row>
    <row r="27">
      <c r="A27" s="11" t="n"/>
      <c r="B27" s="12">
        <f>IF($S27="","",IFERROR(MATCH($S27,IMPOSTAZIONI!$F$5:$F$12,0),9)&amp;" · "&amp;$S27)</f>
        <v/>
      </c>
      <c r="C27" s="13" t="n"/>
      <c r="D27" s="14" t="n"/>
      <c r="E27" s="11" t="n"/>
      <c r="F27" s="15">
        <f>IF($A27="","",IF(LEN(IF(AND($C27&lt;&gt;"",$C27=TODAY())," · oggi in centro","")&amp;IF(AND($C27&lt;&gt;"",$C27&gt;=TODAY(),N($D27)+1&gt;=IMPOSTAZIONI!$C$5)," · ultima del ciclo, proponi il mantenimento","")&amp;IF(AND($C27&lt;&gt;"",$C27&gt;=TODAY(),$I27&lt;&gt;"",$C27-$I27&lt;IMPOSTAZIONI!$C$6)," · rientro anticipato, meno di "&amp;IMPOSTAZIONI!$C$6&amp;" giorni","")&amp;IF(AND($C27&lt;&gt;"",$C27&gt;=TODAY(),$I27&lt;&gt;"",$C27-$I27&gt;IMPOSTAZIONI!$C$7)," · rientro oltre "&amp;IMPOSTAZIONI!$C$7&amp;" giorni",""))=0,"",MID(IF(AND($C27&lt;&gt;"",$C27=TODAY())," · oggi in centro","")&amp;IF(AND($C27&lt;&gt;"",$C27&gt;=TODAY(),N($D27)+1&gt;=IMPOSTAZIONI!$C$5)," · ultima del ciclo, proponi il mantenimento","")&amp;IF(AND($C27&lt;&gt;"",$C27&gt;=TODAY(),$I27&lt;&gt;"",$C27-$I27&lt;IMPOSTAZIONI!$C$6)," · rientro anticipato, meno di "&amp;IMPOSTAZIONI!$C$6&amp;" giorni","")&amp;IF(AND($C27&lt;&gt;"",$C27&gt;=TODAY(),$I27&lt;&gt;"",$C27-$I27&gt;IMPOSTAZIONI!$C$7)," · rientro oltre "&amp;IMPOSTAZIONI!$C$7&amp;" giorni",""),4,300)))</f>
        <v/>
      </c>
      <c r="G27" s="16" t="n"/>
      <c r="H27" s="11" t="n"/>
      <c r="I27" s="13" t="n"/>
      <c r="J27" s="17">
        <f>IF($I27="","",TODAY()-$I27)</f>
        <v/>
      </c>
      <c r="K27" s="17">
        <f>IF($C27="","",$C27-TODAY())</f>
        <v/>
      </c>
      <c r="L27" s="15">
        <f>IF($A27="","",N($D27)&amp;"/"&amp;IMPOSTAZIONI!$C$5)</f>
        <v/>
      </c>
      <c r="M27" s="15">
        <f>IF($S27="","",IF($S27="RECUPERA CON INCENTIVO",INCENTIVI!$C$7,IF($S27="RICHIAMO MANTENIMENTO",INCENTIVI!$C$6,IF(OR($S27="FUORI FINESTRA",$S27="ULTIMA SEDUTA"),INCENTIVI!$C$5,""))))</f>
        <v/>
      </c>
      <c r="N27" s="18" t="n"/>
      <c r="O27" s="19">
        <f>IF($A27="","",N($D27)*N($N27))</f>
        <v/>
      </c>
      <c r="P27" s="19">
        <f>IF($A27="","",MAX(0,(IMPOSTAZIONI!$C$5-N($D27))*N($N27)))</f>
        <v/>
      </c>
      <c r="Q27" s="13" t="n"/>
      <c r="R27" s="11" t="n"/>
      <c r="S27" s="15">
        <f>IF($A27="","",IF(AND($C27&lt;&gt;"",$C27&lt;TODAY(),OR($I27="",$I27&lt;$C27)),"APPUNTAMENTO SALTATO",IF(AND($C27&lt;&gt;"",$C27-TODAY()=1),"CONFERMA DOMANI",IF(AND($C27&lt;&gt;"",$C27-TODAY()=IMPOSTAZIONI!$C$8),"CHIAMA PER CONFERMA",IF(AND($C27&lt;&gt;"",$C27&gt;=TODAY()),"",IF($E27="Sospesa","",IF($E27="Persa","RECUPERA CON INCENTIVO",IF(AND($I27&lt;&gt;"",TODAY()&gt;=EDATE($I27,IMPOSTAZIONI!$C$10)),"RECUPERA CON INCENTIVO",IF($E27="Mantenimento",IF(AND($I27&lt;&gt;"",TODAY()-$I27&gt;=IMPOSTAZIONI!$C$9),"RICHIAMO MANTENIMENTO",""),IF($E27="In ciclo",IF(N($D27)&gt;=IMPOSTAZIONI!$C$5,"ULTIMA SEDUTA",IF(AND($I27&lt;&gt;"",TODAY()-$I27&gt;IMPOSTAZIONI!$C$7),"FUORI FINESTRA","PRENDI APPUNTAMENTO")),IF($E27="Da contattare","PRENDI APPUNTAMENTO","")))))))))))</f>
        <v/>
      </c>
      <c r="T27" s="17">
        <f>IF($S27="","",IFERROR(MATCH($S27,IMPOSTAZIONI!$F$5:$F$12,0),9)*100000000+(9999-MIN(9999,ROUND(N($O27)/100,0)))*10000+ROW())</f>
        <v/>
      </c>
    </row>
    <row r="28">
      <c r="A28" s="11" t="n"/>
      <c r="B28" s="12">
        <f>IF($S28="","",IFERROR(MATCH($S28,IMPOSTAZIONI!$F$5:$F$12,0),9)&amp;" · "&amp;$S28)</f>
        <v/>
      </c>
      <c r="C28" s="13" t="n"/>
      <c r="D28" s="14" t="n"/>
      <c r="E28" s="11" t="n"/>
      <c r="F28" s="15">
        <f>IF($A28="","",IF(LEN(IF(AND($C28&lt;&gt;"",$C28=TODAY())," · oggi in centro","")&amp;IF(AND($C28&lt;&gt;"",$C28&gt;=TODAY(),N($D28)+1&gt;=IMPOSTAZIONI!$C$5)," · ultima del ciclo, proponi il mantenimento","")&amp;IF(AND($C28&lt;&gt;"",$C28&gt;=TODAY(),$I28&lt;&gt;"",$C28-$I28&lt;IMPOSTAZIONI!$C$6)," · rientro anticipato, meno di "&amp;IMPOSTAZIONI!$C$6&amp;" giorni","")&amp;IF(AND($C28&lt;&gt;"",$C28&gt;=TODAY(),$I28&lt;&gt;"",$C28-$I28&gt;IMPOSTAZIONI!$C$7)," · rientro oltre "&amp;IMPOSTAZIONI!$C$7&amp;" giorni",""))=0,"",MID(IF(AND($C28&lt;&gt;"",$C28=TODAY())," · oggi in centro","")&amp;IF(AND($C28&lt;&gt;"",$C28&gt;=TODAY(),N($D28)+1&gt;=IMPOSTAZIONI!$C$5)," · ultima del ciclo, proponi il mantenimento","")&amp;IF(AND($C28&lt;&gt;"",$C28&gt;=TODAY(),$I28&lt;&gt;"",$C28-$I28&lt;IMPOSTAZIONI!$C$6)," · rientro anticipato, meno di "&amp;IMPOSTAZIONI!$C$6&amp;" giorni","")&amp;IF(AND($C28&lt;&gt;"",$C28&gt;=TODAY(),$I28&lt;&gt;"",$C28-$I28&gt;IMPOSTAZIONI!$C$7)," · rientro oltre "&amp;IMPOSTAZIONI!$C$7&amp;" giorni",""),4,300)))</f>
        <v/>
      </c>
      <c r="G28" s="16" t="n"/>
      <c r="H28" s="11" t="n"/>
      <c r="I28" s="13" t="n"/>
      <c r="J28" s="17">
        <f>IF($I28="","",TODAY()-$I28)</f>
        <v/>
      </c>
      <c r="K28" s="17">
        <f>IF($C28="","",$C28-TODAY())</f>
        <v/>
      </c>
      <c r="L28" s="15">
        <f>IF($A28="","",N($D28)&amp;"/"&amp;IMPOSTAZIONI!$C$5)</f>
        <v/>
      </c>
      <c r="M28" s="15">
        <f>IF($S28="","",IF($S28="RECUPERA CON INCENTIVO",INCENTIVI!$C$7,IF($S28="RICHIAMO MANTENIMENTO",INCENTIVI!$C$6,IF(OR($S28="FUORI FINESTRA",$S28="ULTIMA SEDUTA"),INCENTIVI!$C$5,""))))</f>
        <v/>
      </c>
      <c r="N28" s="18" t="n"/>
      <c r="O28" s="19">
        <f>IF($A28="","",N($D28)*N($N28))</f>
        <v/>
      </c>
      <c r="P28" s="19">
        <f>IF($A28="","",MAX(0,(IMPOSTAZIONI!$C$5-N($D28))*N($N28)))</f>
        <v/>
      </c>
      <c r="Q28" s="13" t="n"/>
      <c r="R28" s="11" t="n"/>
      <c r="S28" s="15">
        <f>IF($A28="","",IF(AND($C28&lt;&gt;"",$C28&lt;TODAY(),OR($I28="",$I28&lt;$C28)),"APPUNTAMENTO SALTATO",IF(AND($C28&lt;&gt;"",$C28-TODAY()=1),"CONFERMA DOMANI",IF(AND($C28&lt;&gt;"",$C28-TODAY()=IMPOSTAZIONI!$C$8),"CHIAMA PER CONFERMA",IF(AND($C28&lt;&gt;"",$C28&gt;=TODAY()),"",IF($E28="Sospesa","",IF($E28="Persa","RECUPERA CON INCENTIVO",IF(AND($I28&lt;&gt;"",TODAY()&gt;=EDATE($I28,IMPOSTAZIONI!$C$10)),"RECUPERA CON INCENTIVO",IF($E28="Mantenimento",IF(AND($I28&lt;&gt;"",TODAY()-$I28&gt;=IMPOSTAZIONI!$C$9),"RICHIAMO MANTENIMENTO",""),IF($E28="In ciclo",IF(N($D28)&gt;=IMPOSTAZIONI!$C$5,"ULTIMA SEDUTA",IF(AND($I28&lt;&gt;"",TODAY()-$I28&gt;IMPOSTAZIONI!$C$7),"FUORI FINESTRA","PRENDI APPUNTAMENTO")),IF($E28="Da contattare","PRENDI APPUNTAMENTO","")))))))))))</f>
        <v/>
      </c>
      <c r="T28" s="17">
        <f>IF($S28="","",IFERROR(MATCH($S28,IMPOSTAZIONI!$F$5:$F$12,0),9)*100000000+(9999-MIN(9999,ROUND(N($O28)/100,0)))*10000+ROW())</f>
        <v/>
      </c>
    </row>
    <row r="29">
      <c r="A29" s="11" t="n"/>
      <c r="B29" s="12">
        <f>IF($S29="","",IFERROR(MATCH($S29,IMPOSTAZIONI!$F$5:$F$12,0),9)&amp;" · "&amp;$S29)</f>
        <v/>
      </c>
      <c r="C29" s="13" t="n"/>
      <c r="D29" s="14" t="n"/>
      <c r="E29" s="11" t="n"/>
      <c r="F29" s="15">
        <f>IF($A29="","",IF(LEN(IF(AND($C29&lt;&gt;"",$C29=TODAY())," · oggi in centro","")&amp;IF(AND($C29&lt;&gt;"",$C29&gt;=TODAY(),N($D29)+1&gt;=IMPOSTAZIONI!$C$5)," · ultima del ciclo, proponi il mantenimento","")&amp;IF(AND($C29&lt;&gt;"",$C29&gt;=TODAY(),$I29&lt;&gt;"",$C29-$I29&lt;IMPOSTAZIONI!$C$6)," · rientro anticipato, meno di "&amp;IMPOSTAZIONI!$C$6&amp;" giorni","")&amp;IF(AND($C29&lt;&gt;"",$C29&gt;=TODAY(),$I29&lt;&gt;"",$C29-$I29&gt;IMPOSTAZIONI!$C$7)," · rientro oltre "&amp;IMPOSTAZIONI!$C$7&amp;" giorni",""))=0,"",MID(IF(AND($C29&lt;&gt;"",$C29=TODAY())," · oggi in centro","")&amp;IF(AND($C29&lt;&gt;"",$C29&gt;=TODAY(),N($D29)+1&gt;=IMPOSTAZIONI!$C$5)," · ultima del ciclo, proponi il mantenimento","")&amp;IF(AND($C29&lt;&gt;"",$C29&gt;=TODAY(),$I29&lt;&gt;"",$C29-$I29&lt;IMPOSTAZIONI!$C$6)," · rientro anticipato, meno di "&amp;IMPOSTAZIONI!$C$6&amp;" giorni","")&amp;IF(AND($C29&lt;&gt;"",$C29&gt;=TODAY(),$I29&lt;&gt;"",$C29-$I29&gt;IMPOSTAZIONI!$C$7)," · rientro oltre "&amp;IMPOSTAZIONI!$C$7&amp;" giorni",""),4,300)))</f>
        <v/>
      </c>
      <c r="G29" s="16" t="n"/>
      <c r="H29" s="11" t="n"/>
      <c r="I29" s="13" t="n"/>
      <c r="J29" s="17">
        <f>IF($I29="","",TODAY()-$I29)</f>
        <v/>
      </c>
      <c r="K29" s="17">
        <f>IF($C29="","",$C29-TODAY())</f>
        <v/>
      </c>
      <c r="L29" s="15">
        <f>IF($A29="","",N($D29)&amp;"/"&amp;IMPOSTAZIONI!$C$5)</f>
        <v/>
      </c>
      <c r="M29" s="15">
        <f>IF($S29="","",IF($S29="RECUPERA CON INCENTIVO",INCENTIVI!$C$7,IF($S29="RICHIAMO MANTENIMENTO",INCENTIVI!$C$6,IF(OR($S29="FUORI FINESTRA",$S29="ULTIMA SEDUTA"),INCENTIVI!$C$5,""))))</f>
        <v/>
      </c>
      <c r="N29" s="18" t="n"/>
      <c r="O29" s="19">
        <f>IF($A29="","",N($D29)*N($N29))</f>
        <v/>
      </c>
      <c r="P29" s="19">
        <f>IF($A29="","",MAX(0,(IMPOSTAZIONI!$C$5-N($D29))*N($N29)))</f>
        <v/>
      </c>
      <c r="Q29" s="13" t="n"/>
      <c r="R29" s="11" t="n"/>
      <c r="S29" s="15">
        <f>IF($A29="","",IF(AND($C29&lt;&gt;"",$C29&lt;TODAY(),OR($I29="",$I29&lt;$C29)),"APPUNTAMENTO SALTATO",IF(AND($C29&lt;&gt;"",$C29-TODAY()=1),"CONFERMA DOMANI",IF(AND($C29&lt;&gt;"",$C29-TODAY()=IMPOSTAZIONI!$C$8),"CHIAMA PER CONFERMA",IF(AND($C29&lt;&gt;"",$C29&gt;=TODAY()),"",IF($E29="Sospesa","",IF($E29="Persa","RECUPERA CON INCENTIVO",IF(AND($I29&lt;&gt;"",TODAY()&gt;=EDATE($I29,IMPOSTAZIONI!$C$10)),"RECUPERA CON INCENTIVO",IF($E29="Mantenimento",IF(AND($I29&lt;&gt;"",TODAY()-$I29&gt;=IMPOSTAZIONI!$C$9),"RICHIAMO MANTENIMENTO",""),IF($E29="In ciclo",IF(N($D29)&gt;=IMPOSTAZIONI!$C$5,"ULTIMA SEDUTA",IF(AND($I29&lt;&gt;"",TODAY()-$I29&gt;IMPOSTAZIONI!$C$7),"FUORI FINESTRA","PRENDI APPUNTAMENTO")),IF($E29="Da contattare","PRENDI APPUNTAMENTO","")))))))))))</f>
        <v/>
      </c>
      <c r="T29" s="17">
        <f>IF($S29="","",IFERROR(MATCH($S29,IMPOSTAZIONI!$F$5:$F$12,0),9)*100000000+(9999-MIN(9999,ROUND(N($O29)/100,0)))*10000+ROW())</f>
        <v/>
      </c>
    </row>
    <row r="30">
      <c r="A30" s="11" t="n"/>
      <c r="B30" s="12">
        <f>IF($S30="","",IFERROR(MATCH($S30,IMPOSTAZIONI!$F$5:$F$12,0),9)&amp;" · "&amp;$S30)</f>
        <v/>
      </c>
      <c r="C30" s="13" t="n"/>
      <c r="D30" s="14" t="n"/>
      <c r="E30" s="11" t="n"/>
      <c r="F30" s="15">
        <f>IF($A30="","",IF(LEN(IF(AND($C30&lt;&gt;"",$C30=TODAY())," · oggi in centro","")&amp;IF(AND($C30&lt;&gt;"",$C30&gt;=TODAY(),N($D30)+1&gt;=IMPOSTAZIONI!$C$5)," · ultima del ciclo, proponi il mantenimento","")&amp;IF(AND($C30&lt;&gt;"",$C30&gt;=TODAY(),$I30&lt;&gt;"",$C30-$I30&lt;IMPOSTAZIONI!$C$6)," · rientro anticipato, meno di "&amp;IMPOSTAZIONI!$C$6&amp;" giorni","")&amp;IF(AND($C30&lt;&gt;"",$C30&gt;=TODAY(),$I30&lt;&gt;"",$C30-$I30&gt;IMPOSTAZIONI!$C$7)," · rientro oltre "&amp;IMPOSTAZIONI!$C$7&amp;" giorni",""))=0,"",MID(IF(AND($C30&lt;&gt;"",$C30=TODAY())," · oggi in centro","")&amp;IF(AND($C30&lt;&gt;"",$C30&gt;=TODAY(),N($D30)+1&gt;=IMPOSTAZIONI!$C$5)," · ultima del ciclo, proponi il mantenimento","")&amp;IF(AND($C30&lt;&gt;"",$C30&gt;=TODAY(),$I30&lt;&gt;"",$C30-$I30&lt;IMPOSTAZIONI!$C$6)," · rientro anticipato, meno di "&amp;IMPOSTAZIONI!$C$6&amp;" giorni","")&amp;IF(AND($C30&lt;&gt;"",$C30&gt;=TODAY(),$I30&lt;&gt;"",$C30-$I30&gt;IMPOSTAZIONI!$C$7)," · rientro oltre "&amp;IMPOSTAZIONI!$C$7&amp;" giorni",""),4,300)))</f>
        <v/>
      </c>
      <c r="G30" s="16" t="n"/>
      <c r="H30" s="11" t="n"/>
      <c r="I30" s="13" t="n"/>
      <c r="J30" s="17">
        <f>IF($I30="","",TODAY()-$I30)</f>
        <v/>
      </c>
      <c r="K30" s="17">
        <f>IF($C30="","",$C30-TODAY())</f>
        <v/>
      </c>
      <c r="L30" s="15">
        <f>IF($A30="","",N($D30)&amp;"/"&amp;IMPOSTAZIONI!$C$5)</f>
        <v/>
      </c>
      <c r="M30" s="15">
        <f>IF($S30="","",IF($S30="RECUPERA CON INCENTIVO",INCENTIVI!$C$7,IF($S30="RICHIAMO MANTENIMENTO",INCENTIVI!$C$6,IF(OR($S30="FUORI FINESTRA",$S30="ULTIMA SEDUTA"),INCENTIVI!$C$5,""))))</f>
        <v/>
      </c>
      <c r="N30" s="18" t="n"/>
      <c r="O30" s="19">
        <f>IF($A30="","",N($D30)*N($N30))</f>
        <v/>
      </c>
      <c r="P30" s="19">
        <f>IF($A30="","",MAX(0,(IMPOSTAZIONI!$C$5-N($D30))*N($N30)))</f>
        <v/>
      </c>
      <c r="Q30" s="13" t="n"/>
      <c r="R30" s="11" t="n"/>
      <c r="S30" s="15">
        <f>IF($A30="","",IF(AND($C30&lt;&gt;"",$C30&lt;TODAY(),OR($I30="",$I30&lt;$C30)),"APPUNTAMENTO SALTATO",IF(AND($C30&lt;&gt;"",$C30-TODAY()=1),"CONFERMA DOMANI",IF(AND($C30&lt;&gt;"",$C30-TODAY()=IMPOSTAZIONI!$C$8),"CHIAMA PER CONFERMA",IF(AND($C30&lt;&gt;"",$C30&gt;=TODAY()),"",IF($E30="Sospesa","",IF($E30="Persa","RECUPERA CON INCENTIVO",IF(AND($I30&lt;&gt;"",TODAY()&gt;=EDATE($I30,IMPOSTAZIONI!$C$10)),"RECUPERA CON INCENTIVO",IF($E30="Mantenimento",IF(AND($I30&lt;&gt;"",TODAY()-$I30&gt;=IMPOSTAZIONI!$C$9),"RICHIAMO MANTENIMENTO",""),IF($E30="In ciclo",IF(N($D30)&gt;=IMPOSTAZIONI!$C$5,"ULTIMA SEDUTA",IF(AND($I30&lt;&gt;"",TODAY()-$I30&gt;IMPOSTAZIONI!$C$7),"FUORI FINESTRA","PRENDI APPUNTAMENTO")),IF($E30="Da contattare","PRENDI APPUNTAMENTO","")))))))))))</f>
        <v/>
      </c>
      <c r="T30" s="17">
        <f>IF($S30="","",IFERROR(MATCH($S30,IMPOSTAZIONI!$F$5:$F$12,0),9)*100000000+(9999-MIN(9999,ROUND(N($O30)/100,0)))*10000+ROW())</f>
        <v/>
      </c>
    </row>
    <row r="31">
      <c r="A31" s="11" t="n"/>
      <c r="B31" s="12">
        <f>IF($S31="","",IFERROR(MATCH($S31,IMPOSTAZIONI!$F$5:$F$12,0),9)&amp;" · "&amp;$S31)</f>
        <v/>
      </c>
      <c r="C31" s="13" t="n"/>
      <c r="D31" s="14" t="n"/>
      <c r="E31" s="11" t="n"/>
      <c r="F31" s="15">
        <f>IF($A31="","",IF(LEN(IF(AND($C31&lt;&gt;"",$C31=TODAY())," · oggi in centro","")&amp;IF(AND($C31&lt;&gt;"",$C31&gt;=TODAY(),N($D31)+1&gt;=IMPOSTAZIONI!$C$5)," · ultima del ciclo, proponi il mantenimento","")&amp;IF(AND($C31&lt;&gt;"",$C31&gt;=TODAY(),$I31&lt;&gt;"",$C31-$I31&lt;IMPOSTAZIONI!$C$6)," · rientro anticipato, meno di "&amp;IMPOSTAZIONI!$C$6&amp;" giorni","")&amp;IF(AND($C31&lt;&gt;"",$C31&gt;=TODAY(),$I31&lt;&gt;"",$C31-$I31&gt;IMPOSTAZIONI!$C$7)," · rientro oltre "&amp;IMPOSTAZIONI!$C$7&amp;" giorni",""))=0,"",MID(IF(AND($C31&lt;&gt;"",$C31=TODAY())," · oggi in centro","")&amp;IF(AND($C31&lt;&gt;"",$C31&gt;=TODAY(),N($D31)+1&gt;=IMPOSTAZIONI!$C$5)," · ultima del ciclo, proponi il mantenimento","")&amp;IF(AND($C31&lt;&gt;"",$C31&gt;=TODAY(),$I31&lt;&gt;"",$C31-$I31&lt;IMPOSTAZIONI!$C$6)," · rientro anticipato, meno di "&amp;IMPOSTAZIONI!$C$6&amp;" giorni","")&amp;IF(AND($C31&lt;&gt;"",$C31&gt;=TODAY(),$I31&lt;&gt;"",$C31-$I31&gt;IMPOSTAZIONI!$C$7)," · rientro oltre "&amp;IMPOSTAZIONI!$C$7&amp;" giorni",""),4,300)))</f>
        <v/>
      </c>
      <c r="G31" s="16" t="n"/>
      <c r="H31" s="11" t="n"/>
      <c r="I31" s="13" t="n"/>
      <c r="J31" s="17">
        <f>IF($I31="","",TODAY()-$I31)</f>
        <v/>
      </c>
      <c r="K31" s="17">
        <f>IF($C31="","",$C31-TODAY())</f>
        <v/>
      </c>
      <c r="L31" s="15">
        <f>IF($A31="","",N($D31)&amp;"/"&amp;IMPOSTAZIONI!$C$5)</f>
        <v/>
      </c>
      <c r="M31" s="15">
        <f>IF($S31="","",IF($S31="RECUPERA CON INCENTIVO",INCENTIVI!$C$7,IF($S31="RICHIAMO MANTENIMENTO",INCENTIVI!$C$6,IF(OR($S31="FUORI FINESTRA",$S31="ULTIMA SEDUTA"),INCENTIVI!$C$5,""))))</f>
        <v/>
      </c>
      <c r="N31" s="18" t="n"/>
      <c r="O31" s="19">
        <f>IF($A31="","",N($D31)*N($N31))</f>
        <v/>
      </c>
      <c r="P31" s="19">
        <f>IF($A31="","",MAX(0,(IMPOSTAZIONI!$C$5-N($D31))*N($N31)))</f>
        <v/>
      </c>
      <c r="Q31" s="13" t="n"/>
      <c r="R31" s="11" t="n"/>
      <c r="S31" s="15">
        <f>IF($A31="","",IF(AND($C31&lt;&gt;"",$C31&lt;TODAY(),OR($I31="",$I31&lt;$C31)),"APPUNTAMENTO SALTATO",IF(AND($C31&lt;&gt;"",$C31-TODAY()=1),"CONFERMA DOMANI",IF(AND($C31&lt;&gt;"",$C31-TODAY()=IMPOSTAZIONI!$C$8),"CHIAMA PER CONFERMA",IF(AND($C31&lt;&gt;"",$C31&gt;=TODAY()),"",IF($E31="Sospesa","",IF($E31="Persa","RECUPERA CON INCENTIVO",IF(AND($I31&lt;&gt;"",TODAY()&gt;=EDATE($I31,IMPOSTAZIONI!$C$10)),"RECUPERA CON INCENTIVO",IF($E31="Mantenimento",IF(AND($I31&lt;&gt;"",TODAY()-$I31&gt;=IMPOSTAZIONI!$C$9),"RICHIAMO MANTENIMENTO",""),IF($E31="In ciclo",IF(N($D31)&gt;=IMPOSTAZIONI!$C$5,"ULTIMA SEDUTA",IF(AND($I31&lt;&gt;"",TODAY()-$I31&gt;IMPOSTAZIONI!$C$7),"FUORI FINESTRA","PRENDI APPUNTAMENTO")),IF($E31="Da contattare","PRENDI APPUNTAMENTO","")))))))))))</f>
        <v/>
      </c>
      <c r="T31" s="17">
        <f>IF($S31="","",IFERROR(MATCH($S31,IMPOSTAZIONI!$F$5:$F$12,0),9)*100000000+(9999-MIN(9999,ROUND(N($O31)/100,0)))*10000+ROW())</f>
        <v/>
      </c>
    </row>
    <row r="32">
      <c r="A32" s="11" t="n"/>
      <c r="B32" s="12">
        <f>IF($S32="","",IFERROR(MATCH($S32,IMPOSTAZIONI!$F$5:$F$12,0),9)&amp;" · "&amp;$S32)</f>
        <v/>
      </c>
      <c r="C32" s="13" t="n"/>
      <c r="D32" s="14" t="n"/>
      <c r="E32" s="11" t="n"/>
      <c r="F32" s="15">
        <f>IF($A32="","",IF(LEN(IF(AND($C32&lt;&gt;"",$C32=TODAY())," · oggi in centro","")&amp;IF(AND($C32&lt;&gt;"",$C32&gt;=TODAY(),N($D32)+1&gt;=IMPOSTAZIONI!$C$5)," · ultima del ciclo, proponi il mantenimento","")&amp;IF(AND($C32&lt;&gt;"",$C32&gt;=TODAY(),$I32&lt;&gt;"",$C32-$I32&lt;IMPOSTAZIONI!$C$6)," · rientro anticipato, meno di "&amp;IMPOSTAZIONI!$C$6&amp;" giorni","")&amp;IF(AND($C32&lt;&gt;"",$C32&gt;=TODAY(),$I32&lt;&gt;"",$C32-$I32&gt;IMPOSTAZIONI!$C$7)," · rientro oltre "&amp;IMPOSTAZIONI!$C$7&amp;" giorni",""))=0,"",MID(IF(AND($C32&lt;&gt;"",$C32=TODAY())," · oggi in centro","")&amp;IF(AND($C32&lt;&gt;"",$C32&gt;=TODAY(),N($D32)+1&gt;=IMPOSTAZIONI!$C$5)," · ultima del ciclo, proponi il mantenimento","")&amp;IF(AND($C32&lt;&gt;"",$C32&gt;=TODAY(),$I32&lt;&gt;"",$C32-$I32&lt;IMPOSTAZIONI!$C$6)," · rientro anticipato, meno di "&amp;IMPOSTAZIONI!$C$6&amp;" giorni","")&amp;IF(AND($C32&lt;&gt;"",$C32&gt;=TODAY(),$I32&lt;&gt;"",$C32-$I32&gt;IMPOSTAZIONI!$C$7)," · rientro oltre "&amp;IMPOSTAZIONI!$C$7&amp;" giorni",""),4,300)))</f>
        <v/>
      </c>
      <c r="G32" s="16" t="n"/>
      <c r="H32" s="11" t="n"/>
      <c r="I32" s="13" t="n"/>
      <c r="J32" s="17">
        <f>IF($I32="","",TODAY()-$I32)</f>
        <v/>
      </c>
      <c r="K32" s="17">
        <f>IF($C32="","",$C32-TODAY())</f>
        <v/>
      </c>
      <c r="L32" s="15">
        <f>IF($A32="","",N($D32)&amp;"/"&amp;IMPOSTAZIONI!$C$5)</f>
        <v/>
      </c>
      <c r="M32" s="15">
        <f>IF($S32="","",IF($S32="RECUPERA CON INCENTIVO",INCENTIVI!$C$7,IF($S32="RICHIAMO MANTENIMENTO",INCENTIVI!$C$6,IF(OR($S32="FUORI FINESTRA",$S32="ULTIMA SEDUTA"),INCENTIVI!$C$5,""))))</f>
        <v/>
      </c>
      <c r="N32" s="18" t="n"/>
      <c r="O32" s="19">
        <f>IF($A32="","",N($D32)*N($N32))</f>
        <v/>
      </c>
      <c r="P32" s="19">
        <f>IF($A32="","",MAX(0,(IMPOSTAZIONI!$C$5-N($D32))*N($N32)))</f>
        <v/>
      </c>
      <c r="Q32" s="13" t="n"/>
      <c r="R32" s="11" t="n"/>
      <c r="S32" s="15">
        <f>IF($A32="","",IF(AND($C32&lt;&gt;"",$C32&lt;TODAY(),OR($I32="",$I32&lt;$C32)),"APPUNTAMENTO SALTATO",IF(AND($C32&lt;&gt;"",$C32-TODAY()=1),"CONFERMA DOMANI",IF(AND($C32&lt;&gt;"",$C32-TODAY()=IMPOSTAZIONI!$C$8),"CHIAMA PER CONFERMA",IF(AND($C32&lt;&gt;"",$C32&gt;=TODAY()),"",IF($E32="Sospesa","",IF($E32="Persa","RECUPERA CON INCENTIVO",IF(AND($I32&lt;&gt;"",TODAY()&gt;=EDATE($I32,IMPOSTAZIONI!$C$10)),"RECUPERA CON INCENTIVO",IF($E32="Mantenimento",IF(AND($I32&lt;&gt;"",TODAY()-$I32&gt;=IMPOSTAZIONI!$C$9),"RICHIAMO MANTENIMENTO",""),IF($E32="In ciclo",IF(N($D32)&gt;=IMPOSTAZIONI!$C$5,"ULTIMA SEDUTA",IF(AND($I32&lt;&gt;"",TODAY()-$I32&gt;IMPOSTAZIONI!$C$7),"FUORI FINESTRA","PRENDI APPUNTAMENTO")),IF($E32="Da contattare","PRENDI APPUNTAMENTO","")))))))))))</f>
        <v/>
      </c>
      <c r="T32" s="17">
        <f>IF($S32="","",IFERROR(MATCH($S32,IMPOSTAZIONI!$F$5:$F$12,0),9)*100000000+(9999-MIN(9999,ROUND(N($O32)/100,0)))*10000+ROW())</f>
        <v/>
      </c>
    </row>
    <row r="33">
      <c r="A33" s="11" t="n"/>
      <c r="B33" s="12">
        <f>IF($S33="","",IFERROR(MATCH($S33,IMPOSTAZIONI!$F$5:$F$12,0),9)&amp;" · "&amp;$S33)</f>
        <v/>
      </c>
      <c r="C33" s="13" t="n"/>
      <c r="D33" s="14" t="n"/>
      <c r="E33" s="11" t="n"/>
      <c r="F33" s="15">
        <f>IF($A33="","",IF(LEN(IF(AND($C33&lt;&gt;"",$C33=TODAY())," · oggi in centro","")&amp;IF(AND($C33&lt;&gt;"",$C33&gt;=TODAY(),N($D33)+1&gt;=IMPOSTAZIONI!$C$5)," · ultima del ciclo, proponi il mantenimento","")&amp;IF(AND($C33&lt;&gt;"",$C33&gt;=TODAY(),$I33&lt;&gt;"",$C33-$I33&lt;IMPOSTAZIONI!$C$6)," · rientro anticipato, meno di "&amp;IMPOSTAZIONI!$C$6&amp;" giorni","")&amp;IF(AND($C33&lt;&gt;"",$C33&gt;=TODAY(),$I33&lt;&gt;"",$C33-$I33&gt;IMPOSTAZIONI!$C$7)," · rientro oltre "&amp;IMPOSTAZIONI!$C$7&amp;" giorni",""))=0,"",MID(IF(AND($C33&lt;&gt;"",$C33=TODAY())," · oggi in centro","")&amp;IF(AND($C33&lt;&gt;"",$C33&gt;=TODAY(),N($D33)+1&gt;=IMPOSTAZIONI!$C$5)," · ultima del ciclo, proponi il mantenimento","")&amp;IF(AND($C33&lt;&gt;"",$C33&gt;=TODAY(),$I33&lt;&gt;"",$C33-$I33&lt;IMPOSTAZIONI!$C$6)," · rientro anticipato, meno di "&amp;IMPOSTAZIONI!$C$6&amp;" giorni","")&amp;IF(AND($C33&lt;&gt;"",$C33&gt;=TODAY(),$I33&lt;&gt;"",$C33-$I33&gt;IMPOSTAZIONI!$C$7)," · rientro oltre "&amp;IMPOSTAZIONI!$C$7&amp;" giorni",""),4,300)))</f>
        <v/>
      </c>
      <c r="G33" s="16" t="n"/>
      <c r="H33" s="11" t="n"/>
      <c r="I33" s="13" t="n"/>
      <c r="J33" s="17">
        <f>IF($I33="","",TODAY()-$I33)</f>
        <v/>
      </c>
      <c r="K33" s="17">
        <f>IF($C33="","",$C33-TODAY())</f>
        <v/>
      </c>
      <c r="L33" s="15">
        <f>IF($A33="","",N($D33)&amp;"/"&amp;IMPOSTAZIONI!$C$5)</f>
        <v/>
      </c>
      <c r="M33" s="15">
        <f>IF($S33="","",IF($S33="RECUPERA CON INCENTIVO",INCENTIVI!$C$7,IF($S33="RICHIAMO MANTENIMENTO",INCENTIVI!$C$6,IF(OR($S33="FUORI FINESTRA",$S33="ULTIMA SEDUTA"),INCENTIVI!$C$5,""))))</f>
        <v/>
      </c>
      <c r="N33" s="18" t="n"/>
      <c r="O33" s="19">
        <f>IF($A33="","",N($D33)*N($N33))</f>
        <v/>
      </c>
      <c r="P33" s="19">
        <f>IF($A33="","",MAX(0,(IMPOSTAZIONI!$C$5-N($D33))*N($N33)))</f>
        <v/>
      </c>
      <c r="Q33" s="13" t="n"/>
      <c r="R33" s="11" t="n"/>
      <c r="S33" s="15">
        <f>IF($A33="","",IF(AND($C33&lt;&gt;"",$C33&lt;TODAY(),OR($I33="",$I33&lt;$C33)),"APPUNTAMENTO SALTATO",IF(AND($C33&lt;&gt;"",$C33-TODAY()=1),"CONFERMA DOMANI",IF(AND($C33&lt;&gt;"",$C33-TODAY()=IMPOSTAZIONI!$C$8),"CHIAMA PER CONFERMA",IF(AND($C33&lt;&gt;"",$C33&gt;=TODAY()),"",IF($E33="Sospesa","",IF($E33="Persa","RECUPERA CON INCENTIVO",IF(AND($I33&lt;&gt;"",TODAY()&gt;=EDATE($I33,IMPOSTAZIONI!$C$10)),"RECUPERA CON INCENTIVO",IF($E33="Mantenimento",IF(AND($I33&lt;&gt;"",TODAY()-$I33&gt;=IMPOSTAZIONI!$C$9),"RICHIAMO MANTENIMENTO",""),IF($E33="In ciclo",IF(N($D33)&gt;=IMPOSTAZIONI!$C$5,"ULTIMA SEDUTA",IF(AND($I33&lt;&gt;"",TODAY()-$I33&gt;IMPOSTAZIONI!$C$7),"FUORI FINESTRA","PRENDI APPUNTAMENTO")),IF($E33="Da contattare","PRENDI APPUNTAMENTO","")))))))))))</f>
        <v/>
      </c>
      <c r="T33" s="17">
        <f>IF($S33="","",IFERROR(MATCH($S33,IMPOSTAZIONI!$F$5:$F$12,0),9)*100000000+(9999-MIN(9999,ROUND(N($O33)/100,0)))*10000+ROW())</f>
        <v/>
      </c>
    </row>
    <row r="34">
      <c r="A34" s="11" t="n"/>
      <c r="B34" s="12">
        <f>IF($S34="","",IFERROR(MATCH($S34,IMPOSTAZIONI!$F$5:$F$12,0),9)&amp;" · "&amp;$S34)</f>
        <v/>
      </c>
      <c r="C34" s="13" t="n"/>
      <c r="D34" s="14" t="n"/>
      <c r="E34" s="11" t="n"/>
      <c r="F34" s="15">
        <f>IF($A34="","",IF(LEN(IF(AND($C34&lt;&gt;"",$C34=TODAY())," · oggi in centro","")&amp;IF(AND($C34&lt;&gt;"",$C34&gt;=TODAY(),N($D34)+1&gt;=IMPOSTAZIONI!$C$5)," · ultima del ciclo, proponi il mantenimento","")&amp;IF(AND($C34&lt;&gt;"",$C34&gt;=TODAY(),$I34&lt;&gt;"",$C34-$I34&lt;IMPOSTAZIONI!$C$6)," · rientro anticipato, meno di "&amp;IMPOSTAZIONI!$C$6&amp;" giorni","")&amp;IF(AND($C34&lt;&gt;"",$C34&gt;=TODAY(),$I34&lt;&gt;"",$C34-$I34&gt;IMPOSTAZIONI!$C$7)," · rientro oltre "&amp;IMPOSTAZIONI!$C$7&amp;" giorni",""))=0,"",MID(IF(AND($C34&lt;&gt;"",$C34=TODAY())," · oggi in centro","")&amp;IF(AND($C34&lt;&gt;"",$C34&gt;=TODAY(),N($D34)+1&gt;=IMPOSTAZIONI!$C$5)," · ultima del ciclo, proponi il mantenimento","")&amp;IF(AND($C34&lt;&gt;"",$C34&gt;=TODAY(),$I34&lt;&gt;"",$C34-$I34&lt;IMPOSTAZIONI!$C$6)," · rientro anticipato, meno di "&amp;IMPOSTAZIONI!$C$6&amp;" giorni","")&amp;IF(AND($C34&lt;&gt;"",$C34&gt;=TODAY(),$I34&lt;&gt;"",$C34-$I34&gt;IMPOSTAZIONI!$C$7)," · rientro oltre "&amp;IMPOSTAZIONI!$C$7&amp;" giorni",""),4,300)))</f>
        <v/>
      </c>
      <c r="G34" s="16" t="n"/>
      <c r="H34" s="11" t="n"/>
      <c r="I34" s="13" t="n"/>
      <c r="J34" s="17">
        <f>IF($I34="","",TODAY()-$I34)</f>
        <v/>
      </c>
      <c r="K34" s="17">
        <f>IF($C34="","",$C34-TODAY())</f>
        <v/>
      </c>
      <c r="L34" s="15">
        <f>IF($A34="","",N($D34)&amp;"/"&amp;IMPOSTAZIONI!$C$5)</f>
        <v/>
      </c>
      <c r="M34" s="15">
        <f>IF($S34="","",IF($S34="RECUPERA CON INCENTIVO",INCENTIVI!$C$7,IF($S34="RICHIAMO MANTENIMENTO",INCENTIVI!$C$6,IF(OR($S34="FUORI FINESTRA",$S34="ULTIMA SEDUTA"),INCENTIVI!$C$5,""))))</f>
        <v/>
      </c>
      <c r="N34" s="18" t="n"/>
      <c r="O34" s="19">
        <f>IF($A34="","",N($D34)*N($N34))</f>
        <v/>
      </c>
      <c r="P34" s="19">
        <f>IF($A34="","",MAX(0,(IMPOSTAZIONI!$C$5-N($D34))*N($N34)))</f>
        <v/>
      </c>
      <c r="Q34" s="13" t="n"/>
      <c r="R34" s="11" t="n"/>
      <c r="S34" s="15">
        <f>IF($A34="","",IF(AND($C34&lt;&gt;"",$C34&lt;TODAY(),OR($I34="",$I34&lt;$C34)),"APPUNTAMENTO SALTATO",IF(AND($C34&lt;&gt;"",$C34-TODAY()=1),"CONFERMA DOMANI",IF(AND($C34&lt;&gt;"",$C34-TODAY()=IMPOSTAZIONI!$C$8),"CHIAMA PER CONFERMA",IF(AND($C34&lt;&gt;"",$C34&gt;=TODAY()),"",IF($E34="Sospesa","",IF($E34="Persa","RECUPERA CON INCENTIVO",IF(AND($I34&lt;&gt;"",TODAY()&gt;=EDATE($I34,IMPOSTAZIONI!$C$10)),"RECUPERA CON INCENTIVO",IF($E34="Mantenimento",IF(AND($I34&lt;&gt;"",TODAY()-$I34&gt;=IMPOSTAZIONI!$C$9),"RICHIAMO MANTENIMENTO",""),IF($E34="In ciclo",IF(N($D34)&gt;=IMPOSTAZIONI!$C$5,"ULTIMA SEDUTA",IF(AND($I34&lt;&gt;"",TODAY()-$I34&gt;IMPOSTAZIONI!$C$7),"FUORI FINESTRA","PRENDI APPUNTAMENTO")),IF($E34="Da contattare","PRENDI APPUNTAMENTO","")))))))))))</f>
        <v/>
      </c>
      <c r="T34" s="17">
        <f>IF($S34="","",IFERROR(MATCH($S34,IMPOSTAZIONI!$F$5:$F$12,0),9)*100000000+(9999-MIN(9999,ROUND(N($O34)/100,0)))*10000+ROW())</f>
        <v/>
      </c>
    </row>
    <row r="35">
      <c r="A35" s="11" t="n"/>
      <c r="B35" s="12">
        <f>IF($S35="","",IFERROR(MATCH($S35,IMPOSTAZIONI!$F$5:$F$12,0),9)&amp;" · "&amp;$S35)</f>
        <v/>
      </c>
      <c r="C35" s="13" t="n"/>
      <c r="D35" s="14" t="n"/>
      <c r="E35" s="11" t="n"/>
      <c r="F35" s="15">
        <f>IF($A35="","",IF(LEN(IF(AND($C35&lt;&gt;"",$C35=TODAY())," · oggi in centro","")&amp;IF(AND($C35&lt;&gt;"",$C35&gt;=TODAY(),N($D35)+1&gt;=IMPOSTAZIONI!$C$5)," · ultima del ciclo, proponi il mantenimento","")&amp;IF(AND($C35&lt;&gt;"",$C35&gt;=TODAY(),$I35&lt;&gt;"",$C35-$I35&lt;IMPOSTAZIONI!$C$6)," · rientro anticipato, meno di "&amp;IMPOSTAZIONI!$C$6&amp;" giorni","")&amp;IF(AND($C35&lt;&gt;"",$C35&gt;=TODAY(),$I35&lt;&gt;"",$C35-$I35&gt;IMPOSTAZIONI!$C$7)," · rientro oltre "&amp;IMPOSTAZIONI!$C$7&amp;" giorni",""))=0,"",MID(IF(AND($C35&lt;&gt;"",$C35=TODAY())," · oggi in centro","")&amp;IF(AND($C35&lt;&gt;"",$C35&gt;=TODAY(),N($D35)+1&gt;=IMPOSTAZIONI!$C$5)," · ultima del ciclo, proponi il mantenimento","")&amp;IF(AND($C35&lt;&gt;"",$C35&gt;=TODAY(),$I35&lt;&gt;"",$C35-$I35&lt;IMPOSTAZIONI!$C$6)," · rientro anticipato, meno di "&amp;IMPOSTAZIONI!$C$6&amp;" giorni","")&amp;IF(AND($C35&lt;&gt;"",$C35&gt;=TODAY(),$I35&lt;&gt;"",$C35-$I35&gt;IMPOSTAZIONI!$C$7)," · rientro oltre "&amp;IMPOSTAZIONI!$C$7&amp;" giorni",""),4,300)))</f>
        <v/>
      </c>
      <c r="G35" s="16" t="n"/>
      <c r="H35" s="11" t="n"/>
      <c r="I35" s="13" t="n"/>
      <c r="J35" s="17">
        <f>IF($I35="","",TODAY()-$I35)</f>
        <v/>
      </c>
      <c r="K35" s="17">
        <f>IF($C35="","",$C35-TODAY())</f>
        <v/>
      </c>
      <c r="L35" s="15">
        <f>IF($A35="","",N($D35)&amp;"/"&amp;IMPOSTAZIONI!$C$5)</f>
        <v/>
      </c>
      <c r="M35" s="15">
        <f>IF($S35="","",IF($S35="RECUPERA CON INCENTIVO",INCENTIVI!$C$7,IF($S35="RICHIAMO MANTENIMENTO",INCENTIVI!$C$6,IF(OR($S35="FUORI FINESTRA",$S35="ULTIMA SEDUTA"),INCENTIVI!$C$5,""))))</f>
        <v/>
      </c>
      <c r="N35" s="18" t="n"/>
      <c r="O35" s="19">
        <f>IF($A35="","",N($D35)*N($N35))</f>
        <v/>
      </c>
      <c r="P35" s="19">
        <f>IF($A35="","",MAX(0,(IMPOSTAZIONI!$C$5-N($D35))*N($N35)))</f>
        <v/>
      </c>
      <c r="Q35" s="13" t="n"/>
      <c r="R35" s="11" t="n"/>
      <c r="S35" s="15">
        <f>IF($A35="","",IF(AND($C35&lt;&gt;"",$C35&lt;TODAY(),OR($I35="",$I35&lt;$C35)),"APPUNTAMENTO SALTATO",IF(AND($C35&lt;&gt;"",$C35-TODAY()=1),"CONFERMA DOMANI",IF(AND($C35&lt;&gt;"",$C35-TODAY()=IMPOSTAZIONI!$C$8),"CHIAMA PER CONFERMA",IF(AND($C35&lt;&gt;"",$C35&gt;=TODAY()),"",IF($E35="Sospesa","",IF($E35="Persa","RECUPERA CON INCENTIVO",IF(AND($I35&lt;&gt;"",TODAY()&gt;=EDATE($I35,IMPOSTAZIONI!$C$10)),"RECUPERA CON INCENTIVO",IF($E35="Mantenimento",IF(AND($I35&lt;&gt;"",TODAY()-$I35&gt;=IMPOSTAZIONI!$C$9),"RICHIAMO MANTENIMENTO",""),IF($E35="In ciclo",IF(N($D35)&gt;=IMPOSTAZIONI!$C$5,"ULTIMA SEDUTA",IF(AND($I35&lt;&gt;"",TODAY()-$I35&gt;IMPOSTAZIONI!$C$7),"FUORI FINESTRA","PRENDI APPUNTAMENTO")),IF($E35="Da contattare","PRENDI APPUNTAMENTO","")))))))))))</f>
        <v/>
      </c>
      <c r="T35" s="17">
        <f>IF($S35="","",IFERROR(MATCH($S35,IMPOSTAZIONI!$F$5:$F$12,0),9)*100000000+(9999-MIN(9999,ROUND(N($O35)/100,0)))*10000+ROW())</f>
        <v/>
      </c>
    </row>
    <row r="36">
      <c r="A36" s="11" t="n"/>
      <c r="B36" s="12">
        <f>IF($S36="","",IFERROR(MATCH($S36,IMPOSTAZIONI!$F$5:$F$12,0),9)&amp;" · "&amp;$S36)</f>
        <v/>
      </c>
      <c r="C36" s="13" t="n"/>
      <c r="D36" s="14" t="n"/>
      <c r="E36" s="11" t="n"/>
      <c r="F36" s="15">
        <f>IF($A36="","",IF(LEN(IF(AND($C36&lt;&gt;"",$C36=TODAY())," · oggi in centro","")&amp;IF(AND($C36&lt;&gt;"",$C36&gt;=TODAY(),N($D36)+1&gt;=IMPOSTAZIONI!$C$5)," · ultima del ciclo, proponi il mantenimento","")&amp;IF(AND($C36&lt;&gt;"",$C36&gt;=TODAY(),$I36&lt;&gt;"",$C36-$I36&lt;IMPOSTAZIONI!$C$6)," · rientro anticipato, meno di "&amp;IMPOSTAZIONI!$C$6&amp;" giorni","")&amp;IF(AND($C36&lt;&gt;"",$C36&gt;=TODAY(),$I36&lt;&gt;"",$C36-$I36&gt;IMPOSTAZIONI!$C$7)," · rientro oltre "&amp;IMPOSTAZIONI!$C$7&amp;" giorni",""))=0,"",MID(IF(AND($C36&lt;&gt;"",$C36=TODAY())," · oggi in centro","")&amp;IF(AND($C36&lt;&gt;"",$C36&gt;=TODAY(),N($D36)+1&gt;=IMPOSTAZIONI!$C$5)," · ultima del ciclo, proponi il mantenimento","")&amp;IF(AND($C36&lt;&gt;"",$C36&gt;=TODAY(),$I36&lt;&gt;"",$C36-$I36&lt;IMPOSTAZIONI!$C$6)," · rientro anticipato, meno di "&amp;IMPOSTAZIONI!$C$6&amp;" giorni","")&amp;IF(AND($C36&lt;&gt;"",$C36&gt;=TODAY(),$I36&lt;&gt;"",$C36-$I36&gt;IMPOSTAZIONI!$C$7)," · rientro oltre "&amp;IMPOSTAZIONI!$C$7&amp;" giorni",""),4,300)))</f>
        <v/>
      </c>
      <c r="G36" s="16" t="n"/>
      <c r="H36" s="11" t="n"/>
      <c r="I36" s="13" t="n"/>
      <c r="J36" s="17">
        <f>IF($I36="","",TODAY()-$I36)</f>
        <v/>
      </c>
      <c r="K36" s="17">
        <f>IF($C36="","",$C36-TODAY())</f>
        <v/>
      </c>
      <c r="L36" s="15">
        <f>IF($A36="","",N($D36)&amp;"/"&amp;IMPOSTAZIONI!$C$5)</f>
        <v/>
      </c>
      <c r="M36" s="15">
        <f>IF($S36="","",IF($S36="RECUPERA CON INCENTIVO",INCENTIVI!$C$7,IF($S36="RICHIAMO MANTENIMENTO",INCENTIVI!$C$6,IF(OR($S36="FUORI FINESTRA",$S36="ULTIMA SEDUTA"),INCENTIVI!$C$5,""))))</f>
        <v/>
      </c>
      <c r="N36" s="18" t="n"/>
      <c r="O36" s="19">
        <f>IF($A36="","",N($D36)*N($N36))</f>
        <v/>
      </c>
      <c r="P36" s="19">
        <f>IF($A36="","",MAX(0,(IMPOSTAZIONI!$C$5-N($D36))*N($N36)))</f>
        <v/>
      </c>
      <c r="Q36" s="13" t="n"/>
      <c r="R36" s="11" t="n"/>
      <c r="S36" s="15">
        <f>IF($A36="","",IF(AND($C36&lt;&gt;"",$C36&lt;TODAY(),OR($I36="",$I36&lt;$C36)),"APPUNTAMENTO SALTATO",IF(AND($C36&lt;&gt;"",$C36-TODAY()=1),"CONFERMA DOMANI",IF(AND($C36&lt;&gt;"",$C36-TODAY()=IMPOSTAZIONI!$C$8),"CHIAMA PER CONFERMA",IF(AND($C36&lt;&gt;"",$C36&gt;=TODAY()),"",IF($E36="Sospesa","",IF($E36="Persa","RECUPERA CON INCENTIVO",IF(AND($I36&lt;&gt;"",TODAY()&gt;=EDATE($I36,IMPOSTAZIONI!$C$10)),"RECUPERA CON INCENTIVO",IF($E36="Mantenimento",IF(AND($I36&lt;&gt;"",TODAY()-$I36&gt;=IMPOSTAZIONI!$C$9),"RICHIAMO MANTENIMENTO",""),IF($E36="In ciclo",IF(N($D36)&gt;=IMPOSTAZIONI!$C$5,"ULTIMA SEDUTA",IF(AND($I36&lt;&gt;"",TODAY()-$I36&gt;IMPOSTAZIONI!$C$7),"FUORI FINESTRA","PRENDI APPUNTAMENTO")),IF($E36="Da contattare","PRENDI APPUNTAMENTO","")))))))))))</f>
        <v/>
      </c>
      <c r="T36" s="17">
        <f>IF($S36="","",IFERROR(MATCH($S36,IMPOSTAZIONI!$F$5:$F$12,0),9)*100000000+(9999-MIN(9999,ROUND(N($O36)/100,0)))*10000+ROW())</f>
        <v/>
      </c>
    </row>
    <row r="37">
      <c r="A37" s="11" t="n"/>
      <c r="B37" s="12">
        <f>IF($S37="","",IFERROR(MATCH($S37,IMPOSTAZIONI!$F$5:$F$12,0),9)&amp;" · "&amp;$S37)</f>
        <v/>
      </c>
      <c r="C37" s="13" t="n"/>
      <c r="D37" s="14" t="n"/>
      <c r="E37" s="11" t="n"/>
      <c r="F37" s="15">
        <f>IF($A37="","",IF(LEN(IF(AND($C37&lt;&gt;"",$C37=TODAY())," · oggi in centro","")&amp;IF(AND($C37&lt;&gt;"",$C37&gt;=TODAY(),N($D37)+1&gt;=IMPOSTAZIONI!$C$5)," · ultima del ciclo, proponi il mantenimento","")&amp;IF(AND($C37&lt;&gt;"",$C37&gt;=TODAY(),$I37&lt;&gt;"",$C37-$I37&lt;IMPOSTAZIONI!$C$6)," · rientro anticipato, meno di "&amp;IMPOSTAZIONI!$C$6&amp;" giorni","")&amp;IF(AND($C37&lt;&gt;"",$C37&gt;=TODAY(),$I37&lt;&gt;"",$C37-$I37&gt;IMPOSTAZIONI!$C$7)," · rientro oltre "&amp;IMPOSTAZIONI!$C$7&amp;" giorni",""))=0,"",MID(IF(AND($C37&lt;&gt;"",$C37=TODAY())," · oggi in centro","")&amp;IF(AND($C37&lt;&gt;"",$C37&gt;=TODAY(),N($D37)+1&gt;=IMPOSTAZIONI!$C$5)," · ultima del ciclo, proponi il mantenimento","")&amp;IF(AND($C37&lt;&gt;"",$C37&gt;=TODAY(),$I37&lt;&gt;"",$C37-$I37&lt;IMPOSTAZIONI!$C$6)," · rientro anticipato, meno di "&amp;IMPOSTAZIONI!$C$6&amp;" giorni","")&amp;IF(AND($C37&lt;&gt;"",$C37&gt;=TODAY(),$I37&lt;&gt;"",$C37-$I37&gt;IMPOSTAZIONI!$C$7)," · rientro oltre "&amp;IMPOSTAZIONI!$C$7&amp;" giorni",""),4,300)))</f>
        <v/>
      </c>
      <c r="G37" s="16" t="n"/>
      <c r="H37" s="11" t="n"/>
      <c r="I37" s="13" t="n"/>
      <c r="J37" s="17">
        <f>IF($I37="","",TODAY()-$I37)</f>
        <v/>
      </c>
      <c r="K37" s="17">
        <f>IF($C37="","",$C37-TODAY())</f>
        <v/>
      </c>
      <c r="L37" s="15">
        <f>IF($A37="","",N($D37)&amp;"/"&amp;IMPOSTAZIONI!$C$5)</f>
        <v/>
      </c>
      <c r="M37" s="15">
        <f>IF($S37="","",IF($S37="RECUPERA CON INCENTIVO",INCENTIVI!$C$7,IF($S37="RICHIAMO MANTENIMENTO",INCENTIVI!$C$6,IF(OR($S37="FUORI FINESTRA",$S37="ULTIMA SEDUTA"),INCENTIVI!$C$5,""))))</f>
        <v/>
      </c>
      <c r="N37" s="18" t="n"/>
      <c r="O37" s="19">
        <f>IF($A37="","",N($D37)*N($N37))</f>
        <v/>
      </c>
      <c r="P37" s="19">
        <f>IF($A37="","",MAX(0,(IMPOSTAZIONI!$C$5-N($D37))*N($N37)))</f>
        <v/>
      </c>
      <c r="Q37" s="13" t="n"/>
      <c r="R37" s="11" t="n"/>
      <c r="S37" s="15">
        <f>IF($A37="","",IF(AND($C37&lt;&gt;"",$C37&lt;TODAY(),OR($I37="",$I37&lt;$C37)),"APPUNTAMENTO SALTATO",IF(AND($C37&lt;&gt;"",$C37-TODAY()=1),"CONFERMA DOMANI",IF(AND($C37&lt;&gt;"",$C37-TODAY()=IMPOSTAZIONI!$C$8),"CHIAMA PER CONFERMA",IF(AND($C37&lt;&gt;"",$C37&gt;=TODAY()),"",IF($E37="Sospesa","",IF($E37="Persa","RECUPERA CON INCENTIVO",IF(AND($I37&lt;&gt;"",TODAY()&gt;=EDATE($I37,IMPOSTAZIONI!$C$10)),"RECUPERA CON INCENTIVO",IF($E37="Mantenimento",IF(AND($I37&lt;&gt;"",TODAY()-$I37&gt;=IMPOSTAZIONI!$C$9),"RICHIAMO MANTENIMENTO",""),IF($E37="In ciclo",IF(N($D37)&gt;=IMPOSTAZIONI!$C$5,"ULTIMA SEDUTA",IF(AND($I37&lt;&gt;"",TODAY()-$I37&gt;IMPOSTAZIONI!$C$7),"FUORI FINESTRA","PRENDI APPUNTAMENTO")),IF($E37="Da contattare","PRENDI APPUNTAMENTO","")))))))))))</f>
        <v/>
      </c>
      <c r="T37" s="17">
        <f>IF($S37="","",IFERROR(MATCH($S37,IMPOSTAZIONI!$F$5:$F$12,0),9)*100000000+(9999-MIN(9999,ROUND(N($O37)/100,0)))*10000+ROW())</f>
        <v/>
      </c>
    </row>
    <row r="38">
      <c r="A38" s="11" t="n"/>
      <c r="B38" s="12">
        <f>IF($S38="","",IFERROR(MATCH($S38,IMPOSTAZIONI!$F$5:$F$12,0),9)&amp;" · "&amp;$S38)</f>
        <v/>
      </c>
      <c r="C38" s="13" t="n"/>
      <c r="D38" s="14" t="n"/>
      <c r="E38" s="11" t="n"/>
      <c r="F38" s="15">
        <f>IF($A38="","",IF(LEN(IF(AND($C38&lt;&gt;"",$C38=TODAY())," · oggi in centro","")&amp;IF(AND($C38&lt;&gt;"",$C38&gt;=TODAY(),N($D38)+1&gt;=IMPOSTAZIONI!$C$5)," · ultima del ciclo, proponi il mantenimento","")&amp;IF(AND($C38&lt;&gt;"",$C38&gt;=TODAY(),$I38&lt;&gt;"",$C38-$I38&lt;IMPOSTAZIONI!$C$6)," · rientro anticipato, meno di "&amp;IMPOSTAZIONI!$C$6&amp;" giorni","")&amp;IF(AND($C38&lt;&gt;"",$C38&gt;=TODAY(),$I38&lt;&gt;"",$C38-$I38&gt;IMPOSTAZIONI!$C$7)," · rientro oltre "&amp;IMPOSTAZIONI!$C$7&amp;" giorni",""))=0,"",MID(IF(AND($C38&lt;&gt;"",$C38=TODAY())," · oggi in centro","")&amp;IF(AND($C38&lt;&gt;"",$C38&gt;=TODAY(),N($D38)+1&gt;=IMPOSTAZIONI!$C$5)," · ultima del ciclo, proponi il mantenimento","")&amp;IF(AND($C38&lt;&gt;"",$C38&gt;=TODAY(),$I38&lt;&gt;"",$C38-$I38&lt;IMPOSTAZIONI!$C$6)," · rientro anticipato, meno di "&amp;IMPOSTAZIONI!$C$6&amp;" giorni","")&amp;IF(AND($C38&lt;&gt;"",$C38&gt;=TODAY(),$I38&lt;&gt;"",$C38-$I38&gt;IMPOSTAZIONI!$C$7)," · rientro oltre "&amp;IMPOSTAZIONI!$C$7&amp;" giorni",""),4,300)))</f>
        <v/>
      </c>
      <c r="G38" s="16" t="n"/>
      <c r="H38" s="11" t="n"/>
      <c r="I38" s="13" t="n"/>
      <c r="J38" s="17">
        <f>IF($I38="","",TODAY()-$I38)</f>
        <v/>
      </c>
      <c r="K38" s="17">
        <f>IF($C38="","",$C38-TODAY())</f>
        <v/>
      </c>
      <c r="L38" s="15">
        <f>IF($A38="","",N($D38)&amp;"/"&amp;IMPOSTAZIONI!$C$5)</f>
        <v/>
      </c>
      <c r="M38" s="15">
        <f>IF($S38="","",IF($S38="RECUPERA CON INCENTIVO",INCENTIVI!$C$7,IF($S38="RICHIAMO MANTENIMENTO",INCENTIVI!$C$6,IF(OR($S38="FUORI FINESTRA",$S38="ULTIMA SEDUTA"),INCENTIVI!$C$5,""))))</f>
        <v/>
      </c>
      <c r="N38" s="18" t="n"/>
      <c r="O38" s="19">
        <f>IF($A38="","",N($D38)*N($N38))</f>
        <v/>
      </c>
      <c r="P38" s="19">
        <f>IF($A38="","",MAX(0,(IMPOSTAZIONI!$C$5-N($D38))*N($N38)))</f>
        <v/>
      </c>
      <c r="Q38" s="13" t="n"/>
      <c r="R38" s="11" t="n"/>
      <c r="S38" s="15">
        <f>IF($A38="","",IF(AND($C38&lt;&gt;"",$C38&lt;TODAY(),OR($I38="",$I38&lt;$C38)),"APPUNTAMENTO SALTATO",IF(AND($C38&lt;&gt;"",$C38-TODAY()=1),"CONFERMA DOMANI",IF(AND($C38&lt;&gt;"",$C38-TODAY()=IMPOSTAZIONI!$C$8),"CHIAMA PER CONFERMA",IF(AND($C38&lt;&gt;"",$C38&gt;=TODAY()),"",IF($E38="Sospesa","",IF($E38="Persa","RECUPERA CON INCENTIVO",IF(AND($I38&lt;&gt;"",TODAY()&gt;=EDATE($I38,IMPOSTAZIONI!$C$10)),"RECUPERA CON INCENTIVO",IF($E38="Mantenimento",IF(AND($I38&lt;&gt;"",TODAY()-$I38&gt;=IMPOSTAZIONI!$C$9),"RICHIAMO MANTENIMENTO",""),IF($E38="In ciclo",IF(N($D38)&gt;=IMPOSTAZIONI!$C$5,"ULTIMA SEDUTA",IF(AND($I38&lt;&gt;"",TODAY()-$I38&gt;IMPOSTAZIONI!$C$7),"FUORI FINESTRA","PRENDI APPUNTAMENTO")),IF($E38="Da contattare","PRENDI APPUNTAMENTO","")))))))))))</f>
        <v/>
      </c>
      <c r="T38" s="17">
        <f>IF($S38="","",IFERROR(MATCH($S38,IMPOSTAZIONI!$F$5:$F$12,0),9)*100000000+(9999-MIN(9999,ROUND(N($O38)/100,0)))*10000+ROW())</f>
        <v/>
      </c>
    </row>
    <row r="39">
      <c r="A39" s="11" t="n"/>
      <c r="B39" s="12">
        <f>IF($S39="","",IFERROR(MATCH($S39,IMPOSTAZIONI!$F$5:$F$12,0),9)&amp;" · "&amp;$S39)</f>
        <v/>
      </c>
      <c r="C39" s="13" t="n"/>
      <c r="D39" s="14" t="n"/>
      <c r="E39" s="11" t="n"/>
      <c r="F39" s="15">
        <f>IF($A39="","",IF(LEN(IF(AND($C39&lt;&gt;"",$C39=TODAY())," · oggi in centro","")&amp;IF(AND($C39&lt;&gt;"",$C39&gt;=TODAY(),N($D39)+1&gt;=IMPOSTAZIONI!$C$5)," · ultima del ciclo, proponi il mantenimento","")&amp;IF(AND($C39&lt;&gt;"",$C39&gt;=TODAY(),$I39&lt;&gt;"",$C39-$I39&lt;IMPOSTAZIONI!$C$6)," · rientro anticipato, meno di "&amp;IMPOSTAZIONI!$C$6&amp;" giorni","")&amp;IF(AND($C39&lt;&gt;"",$C39&gt;=TODAY(),$I39&lt;&gt;"",$C39-$I39&gt;IMPOSTAZIONI!$C$7)," · rientro oltre "&amp;IMPOSTAZIONI!$C$7&amp;" giorni",""))=0,"",MID(IF(AND($C39&lt;&gt;"",$C39=TODAY())," · oggi in centro","")&amp;IF(AND($C39&lt;&gt;"",$C39&gt;=TODAY(),N($D39)+1&gt;=IMPOSTAZIONI!$C$5)," · ultima del ciclo, proponi il mantenimento","")&amp;IF(AND($C39&lt;&gt;"",$C39&gt;=TODAY(),$I39&lt;&gt;"",$C39-$I39&lt;IMPOSTAZIONI!$C$6)," · rientro anticipato, meno di "&amp;IMPOSTAZIONI!$C$6&amp;" giorni","")&amp;IF(AND($C39&lt;&gt;"",$C39&gt;=TODAY(),$I39&lt;&gt;"",$C39-$I39&gt;IMPOSTAZIONI!$C$7)," · rientro oltre "&amp;IMPOSTAZIONI!$C$7&amp;" giorni",""),4,300)))</f>
        <v/>
      </c>
      <c r="G39" s="16" t="n"/>
      <c r="H39" s="11" t="n"/>
      <c r="I39" s="13" t="n"/>
      <c r="J39" s="17">
        <f>IF($I39="","",TODAY()-$I39)</f>
        <v/>
      </c>
      <c r="K39" s="17">
        <f>IF($C39="","",$C39-TODAY())</f>
        <v/>
      </c>
      <c r="L39" s="15">
        <f>IF($A39="","",N($D39)&amp;"/"&amp;IMPOSTAZIONI!$C$5)</f>
        <v/>
      </c>
      <c r="M39" s="15">
        <f>IF($S39="","",IF($S39="RECUPERA CON INCENTIVO",INCENTIVI!$C$7,IF($S39="RICHIAMO MANTENIMENTO",INCENTIVI!$C$6,IF(OR($S39="FUORI FINESTRA",$S39="ULTIMA SEDUTA"),INCENTIVI!$C$5,""))))</f>
        <v/>
      </c>
      <c r="N39" s="18" t="n"/>
      <c r="O39" s="19">
        <f>IF($A39="","",N($D39)*N($N39))</f>
        <v/>
      </c>
      <c r="P39" s="19">
        <f>IF($A39="","",MAX(0,(IMPOSTAZIONI!$C$5-N($D39))*N($N39)))</f>
        <v/>
      </c>
      <c r="Q39" s="13" t="n"/>
      <c r="R39" s="11" t="n"/>
      <c r="S39" s="15">
        <f>IF($A39="","",IF(AND($C39&lt;&gt;"",$C39&lt;TODAY(),OR($I39="",$I39&lt;$C39)),"APPUNTAMENTO SALTATO",IF(AND($C39&lt;&gt;"",$C39-TODAY()=1),"CONFERMA DOMANI",IF(AND($C39&lt;&gt;"",$C39-TODAY()=IMPOSTAZIONI!$C$8),"CHIAMA PER CONFERMA",IF(AND($C39&lt;&gt;"",$C39&gt;=TODAY()),"",IF($E39="Sospesa","",IF($E39="Persa","RECUPERA CON INCENTIVO",IF(AND($I39&lt;&gt;"",TODAY()&gt;=EDATE($I39,IMPOSTAZIONI!$C$10)),"RECUPERA CON INCENTIVO",IF($E39="Mantenimento",IF(AND($I39&lt;&gt;"",TODAY()-$I39&gt;=IMPOSTAZIONI!$C$9),"RICHIAMO MANTENIMENTO",""),IF($E39="In ciclo",IF(N($D39)&gt;=IMPOSTAZIONI!$C$5,"ULTIMA SEDUTA",IF(AND($I39&lt;&gt;"",TODAY()-$I39&gt;IMPOSTAZIONI!$C$7),"FUORI FINESTRA","PRENDI APPUNTAMENTO")),IF($E39="Da contattare","PRENDI APPUNTAMENTO","")))))))))))</f>
        <v/>
      </c>
      <c r="T39" s="17">
        <f>IF($S39="","",IFERROR(MATCH($S39,IMPOSTAZIONI!$F$5:$F$12,0),9)*100000000+(9999-MIN(9999,ROUND(N($O39)/100,0)))*10000+ROW())</f>
        <v/>
      </c>
    </row>
    <row r="40">
      <c r="A40" s="11" t="n"/>
      <c r="B40" s="12">
        <f>IF($S40="","",IFERROR(MATCH($S40,IMPOSTAZIONI!$F$5:$F$12,0),9)&amp;" · "&amp;$S40)</f>
        <v/>
      </c>
      <c r="C40" s="13" t="n"/>
      <c r="D40" s="14" t="n"/>
      <c r="E40" s="11" t="n"/>
      <c r="F40" s="15">
        <f>IF($A40="","",IF(LEN(IF(AND($C40&lt;&gt;"",$C40=TODAY())," · oggi in centro","")&amp;IF(AND($C40&lt;&gt;"",$C40&gt;=TODAY(),N($D40)+1&gt;=IMPOSTAZIONI!$C$5)," · ultima del ciclo, proponi il mantenimento","")&amp;IF(AND($C40&lt;&gt;"",$C40&gt;=TODAY(),$I40&lt;&gt;"",$C40-$I40&lt;IMPOSTAZIONI!$C$6)," · rientro anticipato, meno di "&amp;IMPOSTAZIONI!$C$6&amp;" giorni","")&amp;IF(AND($C40&lt;&gt;"",$C40&gt;=TODAY(),$I40&lt;&gt;"",$C40-$I40&gt;IMPOSTAZIONI!$C$7)," · rientro oltre "&amp;IMPOSTAZIONI!$C$7&amp;" giorni",""))=0,"",MID(IF(AND($C40&lt;&gt;"",$C40=TODAY())," · oggi in centro","")&amp;IF(AND($C40&lt;&gt;"",$C40&gt;=TODAY(),N($D40)+1&gt;=IMPOSTAZIONI!$C$5)," · ultima del ciclo, proponi il mantenimento","")&amp;IF(AND($C40&lt;&gt;"",$C40&gt;=TODAY(),$I40&lt;&gt;"",$C40-$I40&lt;IMPOSTAZIONI!$C$6)," · rientro anticipato, meno di "&amp;IMPOSTAZIONI!$C$6&amp;" giorni","")&amp;IF(AND($C40&lt;&gt;"",$C40&gt;=TODAY(),$I40&lt;&gt;"",$C40-$I40&gt;IMPOSTAZIONI!$C$7)," · rientro oltre "&amp;IMPOSTAZIONI!$C$7&amp;" giorni",""),4,300)))</f>
        <v/>
      </c>
      <c r="G40" s="16" t="n"/>
      <c r="H40" s="11" t="n"/>
      <c r="I40" s="13" t="n"/>
      <c r="J40" s="17">
        <f>IF($I40="","",TODAY()-$I40)</f>
        <v/>
      </c>
      <c r="K40" s="17">
        <f>IF($C40="","",$C40-TODAY())</f>
        <v/>
      </c>
      <c r="L40" s="15">
        <f>IF($A40="","",N($D40)&amp;"/"&amp;IMPOSTAZIONI!$C$5)</f>
        <v/>
      </c>
      <c r="M40" s="15">
        <f>IF($S40="","",IF($S40="RECUPERA CON INCENTIVO",INCENTIVI!$C$7,IF($S40="RICHIAMO MANTENIMENTO",INCENTIVI!$C$6,IF(OR($S40="FUORI FINESTRA",$S40="ULTIMA SEDUTA"),INCENTIVI!$C$5,""))))</f>
        <v/>
      </c>
      <c r="N40" s="18" t="n"/>
      <c r="O40" s="19">
        <f>IF($A40="","",N($D40)*N($N40))</f>
        <v/>
      </c>
      <c r="P40" s="19">
        <f>IF($A40="","",MAX(0,(IMPOSTAZIONI!$C$5-N($D40))*N($N40)))</f>
        <v/>
      </c>
      <c r="Q40" s="13" t="n"/>
      <c r="R40" s="11" t="n"/>
      <c r="S40" s="15">
        <f>IF($A40="","",IF(AND($C40&lt;&gt;"",$C40&lt;TODAY(),OR($I40="",$I40&lt;$C40)),"APPUNTAMENTO SALTATO",IF(AND($C40&lt;&gt;"",$C40-TODAY()=1),"CONFERMA DOMANI",IF(AND($C40&lt;&gt;"",$C40-TODAY()=IMPOSTAZIONI!$C$8),"CHIAMA PER CONFERMA",IF(AND($C40&lt;&gt;"",$C40&gt;=TODAY()),"",IF($E40="Sospesa","",IF($E40="Persa","RECUPERA CON INCENTIVO",IF(AND($I40&lt;&gt;"",TODAY()&gt;=EDATE($I40,IMPOSTAZIONI!$C$10)),"RECUPERA CON INCENTIVO",IF($E40="Mantenimento",IF(AND($I40&lt;&gt;"",TODAY()-$I40&gt;=IMPOSTAZIONI!$C$9),"RICHIAMO MANTENIMENTO",""),IF($E40="In ciclo",IF(N($D40)&gt;=IMPOSTAZIONI!$C$5,"ULTIMA SEDUTA",IF(AND($I40&lt;&gt;"",TODAY()-$I40&gt;IMPOSTAZIONI!$C$7),"FUORI FINESTRA","PRENDI APPUNTAMENTO")),IF($E40="Da contattare","PRENDI APPUNTAMENTO","")))))))))))</f>
        <v/>
      </c>
      <c r="T40" s="17">
        <f>IF($S40="","",IFERROR(MATCH($S40,IMPOSTAZIONI!$F$5:$F$12,0),9)*100000000+(9999-MIN(9999,ROUND(N($O40)/100,0)))*10000+ROW())</f>
        <v/>
      </c>
    </row>
    <row r="41">
      <c r="A41" s="11" t="n"/>
      <c r="B41" s="12">
        <f>IF($S41="","",IFERROR(MATCH($S41,IMPOSTAZIONI!$F$5:$F$12,0),9)&amp;" · "&amp;$S41)</f>
        <v/>
      </c>
      <c r="C41" s="13" t="n"/>
      <c r="D41" s="14" t="n"/>
      <c r="E41" s="11" t="n"/>
      <c r="F41" s="15">
        <f>IF($A41="","",IF(LEN(IF(AND($C41&lt;&gt;"",$C41=TODAY())," · oggi in centro","")&amp;IF(AND($C41&lt;&gt;"",$C41&gt;=TODAY(),N($D41)+1&gt;=IMPOSTAZIONI!$C$5)," · ultima del ciclo, proponi il mantenimento","")&amp;IF(AND($C41&lt;&gt;"",$C41&gt;=TODAY(),$I41&lt;&gt;"",$C41-$I41&lt;IMPOSTAZIONI!$C$6)," · rientro anticipato, meno di "&amp;IMPOSTAZIONI!$C$6&amp;" giorni","")&amp;IF(AND($C41&lt;&gt;"",$C41&gt;=TODAY(),$I41&lt;&gt;"",$C41-$I41&gt;IMPOSTAZIONI!$C$7)," · rientro oltre "&amp;IMPOSTAZIONI!$C$7&amp;" giorni",""))=0,"",MID(IF(AND($C41&lt;&gt;"",$C41=TODAY())," · oggi in centro","")&amp;IF(AND($C41&lt;&gt;"",$C41&gt;=TODAY(),N($D41)+1&gt;=IMPOSTAZIONI!$C$5)," · ultima del ciclo, proponi il mantenimento","")&amp;IF(AND($C41&lt;&gt;"",$C41&gt;=TODAY(),$I41&lt;&gt;"",$C41-$I41&lt;IMPOSTAZIONI!$C$6)," · rientro anticipato, meno di "&amp;IMPOSTAZIONI!$C$6&amp;" giorni","")&amp;IF(AND($C41&lt;&gt;"",$C41&gt;=TODAY(),$I41&lt;&gt;"",$C41-$I41&gt;IMPOSTAZIONI!$C$7)," · rientro oltre "&amp;IMPOSTAZIONI!$C$7&amp;" giorni",""),4,300)))</f>
        <v/>
      </c>
      <c r="G41" s="16" t="n"/>
      <c r="H41" s="11" t="n"/>
      <c r="I41" s="13" t="n"/>
      <c r="J41" s="17">
        <f>IF($I41="","",TODAY()-$I41)</f>
        <v/>
      </c>
      <c r="K41" s="17">
        <f>IF($C41="","",$C41-TODAY())</f>
        <v/>
      </c>
      <c r="L41" s="15">
        <f>IF($A41="","",N($D41)&amp;"/"&amp;IMPOSTAZIONI!$C$5)</f>
        <v/>
      </c>
      <c r="M41" s="15">
        <f>IF($S41="","",IF($S41="RECUPERA CON INCENTIVO",INCENTIVI!$C$7,IF($S41="RICHIAMO MANTENIMENTO",INCENTIVI!$C$6,IF(OR($S41="FUORI FINESTRA",$S41="ULTIMA SEDUTA"),INCENTIVI!$C$5,""))))</f>
        <v/>
      </c>
      <c r="N41" s="18" t="n"/>
      <c r="O41" s="19">
        <f>IF($A41="","",N($D41)*N($N41))</f>
        <v/>
      </c>
      <c r="P41" s="19">
        <f>IF($A41="","",MAX(0,(IMPOSTAZIONI!$C$5-N($D41))*N($N41)))</f>
        <v/>
      </c>
      <c r="Q41" s="13" t="n"/>
      <c r="R41" s="11" t="n"/>
      <c r="S41" s="15">
        <f>IF($A41="","",IF(AND($C41&lt;&gt;"",$C41&lt;TODAY(),OR($I41="",$I41&lt;$C41)),"APPUNTAMENTO SALTATO",IF(AND($C41&lt;&gt;"",$C41-TODAY()=1),"CONFERMA DOMANI",IF(AND($C41&lt;&gt;"",$C41-TODAY()=IMPOSTAZIONI!$C$8),"CHIAMA PER CONFERMA",IF(AND($C41&lt;&gt;"",$C41&gt;=TODAY()),"",IF($E41="Sospesa","",IF($E41="Persa","RECUPERA CON INCENTIVO",IF(AND($I41&lt;&gt;"",TODAY()&gt;=EDATE($I41,IMPOSTAZIONI!$C$10)),"RECUPERA CON INCENTIVO",IF($E41="Mantenimento",IF(AND($I41&lt;&gt;"",TODAY()-$I41&gt;=IMPOSTAZIONI!$C$9),"RICHIAMO MANTENIMENTO",""),IF($E41="In ciclo",IF(N($D41)&gt;=IMPOSTAZIONI!$C$5,"ULTIMA SEDUTA",IF(AND($I41&lt;&gt;"",TODAY()-$I41&gt;IMPOSTAZIONI!$C$7),"FUORI FINESTRA","PRENDI APPUNTAMENTO")),IF($E41="Da contattare","PRENDI APPUNTAMENTO","")))))))))))</f>
        <v/>
      </c>
      <c r="T41" s="17">
        <f>IF($S41="","",IFERROR(MATCH($S41,IMPOSTAZIONI!$F$5:$F$12,0),9)*100000000+(9999-MIN(9999,ROUND(N($O41)/100,0)))*10000+ROW())</f>
        <v/>
      </c>
    </row>
    <row r="42">
      <c r="A42" s="11" t="n"/>
      <c r="B42" s="12">
        <f>IF($S42="","",IFERROR(MATCH($S42,IMPOSTAZIONI!$F$5:$F$12,0),9)&amp;" · "&amp;$S42)</f>
        <v/>
      </c>
      <c r="C42" s="13" t="n"/>
      <c r="D42" s="14" t="n"/>
      <c r="E42" s="11" t="n"/>
      <c r="F42" s="15">
        <f>IF($A42="","",IF(LEN(IF(AND($C42&lt;&gt;"",$C42=TODAY())," · oggi in centro","")&amp;IF(AND($C42&lt;&gt;"",$C42&gt;=TODAY(),N($D42)+1&gt;=IMPOSTAZIONI!$C$5)," · ultima del ciclo, proponi il mantenimento","")&amp;IF(AND($C42&lt;&gt;"",$C42&gt;=TODAY(),$I42&lt;&gt;"",$C42-$I42&lt;IMPOSTAZIONI!$C$6)," · rientro anticipato, meno di "&amp;IMPOSTAZIONI!$C$6&amp;" giorni","")&amp;IF(AND($C42&lt;&gt;"",$C42&gt;=TODAY(),$I42&lt;&gt;"",$C42-$I42&gt;IMPOSTAZIONI!$C$7)," · rientro oltre "&amp;IMPOSTAZIONI!$C$7&amp;" giorni",""))=0,"",MID(IF(AND($C42&lt;&gt;"",$C42=TODAY())," · oggi in centro","")&amp;IF(AND($C42&lt;&gt;"",$C42&gt;=TODAY(),N($D42)+1&gt;=IMPOSTAZIONI!$C$5)," · ultima del ciclo, proponi il mantenimento","")&amp;IF(AND($C42&lt;&gt;"",$C42&gt;=TODAY(),$I42&lt;&gt;"",$C42-$I42&lt;IMPOSTAZIONI!$C$6)," · rientro anticipato, meno di "&amp;IMPOSTAZIONI!$C$6&amp;" giorni","")&amp;IF(AND($C42&lt;&gt;"",$C42&gt;=TODAY(),$I42&lt;&gt;"",$C42-$I42&gt;IMPOSTAZIONI!$C$7)," · rientro oltre "&amp;IMPOSTAZIONI!$C$7&amp;" giorni",""),4,300)))</f>
        <v/>
      </c>
      <c r="G42" s="16" t="n"/>
      <c r="H42" s="11" t="n"/>
      <c r="I42" s="13" t="n"/>
      <c r="J42" s="17">
        <f>IF($I42="","",TODAY()-$I42)</f>
        <v/>
      </c>
      <c r="K42" s="17">
        <f>IF($C42="","",$C42-TODAY())</f>
        <v/>
      </c>
      <c r="L42" s="15">
        <f>IF($A42="","",N($D42)&amp;"/"&amp;IMPOSTAZIONI!$C$5)</f>
        <v/>
      </c>
      <c r="M42" s="15">
        <f>IF($S42="","",IF($S42="RECUPERA CON INCENTIVO",INCENTIVI!$C$7,IF($S42="RICHIAMO MANTENIMENTO",INCENTIVI!$C$6,IF(OR($S42="FUORI FINESTRA",$S42="ULTIMA SEDUTA"),INCENTIVI!$C$5,""))))</f>
        <v/>
      </c>
      <c r="N42" s="18" t="n"/>
      <c r="O42" s="19">
        <f>IF($A42="","",N($D42)*N($N42))</f>
        <v/>
      </c>
      <c r="P42" s="19">
        <f>IF($A42="","",MAX(0,(IMPOSTAZIONI!$C$5-N($D42))*N($N42)))</f>
        <v/>
      </c>
      <c r="Q42" s="13" t="n"/>
      <c r="R42" s="11" t="n"/>
      <c r="S42" s="15">
        <f>IF($A42="","",IF(AND($C42&lt;&gt;"",$C42&lt;TODAY(),OR($I42="",$I42&lt;$C42)),"APPUNTAMENTO SALTATO",IF(AND($C42&lt;&gt;"",$C42-TODAY()=1),"CONFERMA DOMANI",IF(AND($C42&lt;&gt;"",$C42-TODAY()=IMPOSTAZIONI!$C$8),"CHIAMA PER CONFERMA",IF(AND($C42&lt;&gt;"",$C42&gt;=TODAY()),"",IF($E42="Sospesa","",IF($E42="Persa","RECUPERA CON INCENTIVO",IF(AND($I42&lt;&gt;"",TODAY()&gt;=EDATE($I42,IMPOSTAZIONI!$C$10)),"RECUPERA CON INCENTIVO",IF($E42="Mantenimento",IF(AND($I42&lt;&gt;"",TODAY()-$I42&gt;=IMPOSTAZIONI!$C$9),"RICHIAMO MANTENIMENTO",""),IF($E42="In ciclo",IF(N($D42)&gt;=IMPOSTAZIONI!$C$5,"ULTIMA SEDUTA",IF(AND($I42&lt;&gt;"",TODAY()-$I42&gt;IMPOSTAZIONI!$C$7),"FUORI FINESTRA","PRENDI APPUNTAMENTO")),IF($E42="Da contattare","PRENDI APPUNTAMENTO","")))))))))))</f>
        <v/>
      </c>
      <c r="T42" s="17">
        <f>IF($S42="","",IFERROR(MATCH($S42,IMPOSTAZIONI!$F$5:$F$12,0),9)*100000000+(9999-MIN(9999,ROUND(N($O42)/100,0)))*10000+ROW())</f>
        <v/>
      </c>
    </row>
    <row r="43">
      <c r="A43" s="11" t="n"/>
      <c r="B43" s="12">
        <f>IF($S43="","",IFERROR(MATCH($S43,IMPOSTAZIONI!$F$5:$F$12,0),9)&amp;" · "&amp;$S43)</f>
        <v/>
      </c>
      <c r="C43" s="13" t="n"/>
      <c r="D43" s="14" t="n"/>
      <c r="E43" s="11" t="n"/>
      <c r="F43" s="15">
        <f>IF($A43="","",IF(LEN(IF(AND($C43&lt;&gt;"",$C43=TODAY())," · oggi in centro","")&amp;IF(AND($C43&lt;&gt;"",$C43&gt;=TODAY(),N($D43)+1&gt;=IMPOSTAZIONI!$C$5)," · ultima del ciclo, proponi il mantenimento","")&amp;IF(AND($C43&lt;&gt;"",$C43&gt;=TODAY(),$I43&lt;&gt;"",$C43-$I43&lt;IMPOSTAZIONI!$C$6)," · rientro anticipato, meno di "&amp;IMPOSTAZIONI!$C$6&amp;" giorni","")&amp;IF(AND($C43&lt;&gt;"",$C43&gt;=TODAY(),$I43&lt;&gt;"",$C43-$I43&gt;IMPOSTAZIONI!$C$7)," · rientro oltre "&amp;IMPOSTAZIONI!$C$7&amp;" giorni",""))=0,"",MID(IF(AND($C43&lt;&gt;"",$C43=TODAY())," · oggi in centro","")&amp;IF(AND($C43&lt;&gt;"",$C43&gt;=TODAY(),N($D43)+1&gt;=IMPOSTAZIONI!$C$5)," · ultima del ciclo, proponi il mantenimento","")&amp;IF(AND($C43&lt;&gt;"",$C43&gt;=TODAY(),$I43&lt;&gt;"",$C43-$I43&lt;IMPOSTAZIONI!$C$6)," · rientro anticipato, meno di "&amp;IMPOSTAZIONI!$C$6&amp;" giorni","")&amp;IF(AND($C43&lt;&gt;"",$C43&gt;=TODAY(),$I43&lt;&gt;"",$C43-$I43&gt;IMPOSTAZIONI!$C$7)," · rientro oltre "&amp;IMPOSTAZIONI!$C$7&amp;" giorni",""),4,300)))</f>
        <v/>
      </c>
      <c r="G43" s="16" t="n"/>
      <c r="H43" s="11" t="n"/>
      <c r="I43" s="13" t="n"/>
      <c r="J43" s="17">
        <f>IF($I43="","",TODAY()-$I43)</f>
        <v/>
      </c>
      <c r="K43" s="17">
        <f>IF($C43="","",$C43-TODAY())</f>
        <v/>
      </c>
      <c r="L43" s="15">
        <f>IF($A43="","",N($D43)&amp;"/"&amp;IMPOSTAZIONI!$C$5)</f>
        <v/>
      </c>
      <c r="M43" s="15">
        <f>IF($S43="","",IF($S43="RECUPERA CON INCENTIVO",INCENTIVI!$C$7,IF($S43="RICHIAMO MANTENIMENTO",INCENTIVI!$C$6,IF(OR($S43="FUORI FINESTRA",$S43="ULTIMA SEDUTA"),INCENTIVI!$C$5,""))))</f>
        <v/>
      </c>
      <c r="N43" s="18" t="n"/>
      <c r="O43" s="19">
        <f>IF($A43="","",N($D43)*N($N43))</f>
        <v/>
      </c>
      <c r="P43" s="19">
        <f>IF($A43="","",MAX(0,(IMPOSTAZIONI!$C$5-N($D43))*N($N43)))</f>
        <v/>
      </c>
      <c r="Q43" s="13" t="n"/>
      <c r="R43" s="11" t="n"/>
      <c r="S43" s="15">
        <f>IF($A43="","",IF(AND($C43&lt;&gt;"",$C43&lt;TODAY(),OR($I43="",$I43&lt;$C43)),"APPUNTAMENTO SALTATO",IF(AND($C43&lt;&gt;"",$C43-TODAY()=1),"CONFERMA DOMANI",IF(AND($C43&lt;&gt;"",$C43-TODAY()=IMPOSTAZIONI!$C$8),"CHIAMA PER CONFERMA",IF(AND($C43&lt;&gt;"",$C43&gt;=TODAY()),"",IF($E43="Sospesa","",IF($E43="Persa","RECUPERA CON INCENTIVO",IF(AND($I43&lt;&gt;"",TODAY()&gt;=EDATE($I43,IMPOSTAZIONI!$C$10)),"RECUPERA CON INCENTIVO",IF($E43="Mantenimento",IF(AND($I43&lt;&gt;"",TODAY()-$I43&gt;=IMPOSTAZIONI!$C$9),"RICHIAMO MANTENIMENTO",""),IF($E43="In ciclo",IF(N($D43)&gt;=IMPOSTAZIONI!$C$5,"ULTIMA SEDUTA",IF(AND($I43&lt;&gt;"",TODAY()-$I43&gt;IMPOSTAZIONI!$C$7),"FUORI FINESTRA","PRENDI APPUNTAMENTO")),IF($E43="Da contattare","PRENDI APPUNTAMENTO","")))))))))))</f>
        <v/>
      </c>
      <c r="T43" s="17">
        <f>IF($S43="","",IFERROR(MATCH($S43,IMPOSTAZIONI!$F$5:$F$12,0),9)*100000000+(9999-MIN(9999,ROUND(N($O43)/100,0)))*10000+ROW())</f>
        <v/>
      </c>
    </row>
    <row r="44">
      <c r="A44" s="11" t="n"/>
      <c r="B44" s="12">
        <f>IF($S44="","",IFERROR(MATCH($S44,IMPOSTAZIONI!$F$5:$F$12,0),9)&amp;" · "&amp;$S44)</f>
        <v/>
      </c>
      <c r="C44" s="13" t="n"/>
      <c r="D44" s="14" t="n"/>
      <c r="E44" s="11" t="n"/>
      <c r="F44" s="15">
        <f>IF($A44="","",IF(LEN(IF(AND($C44&lt;&gt;"",$C44=TODAY())," · oggi in centro","")&amp;IF(AND($C44&lt;&gt;"",$C44&gt;=TODAY(),N($D44)+1&gt;=IMPOSTAZIONI!$C$5)," · ultima del ciclo, proponi il mantenimento","")&amp;IF(AND($C44&lt;&gt;"",$C44&gt;=TODAY(),$I44&lt;&gt;"",$C44-$I44&lt;IMPOSTAZIONI!$C$6)," · rientro anticipato, meno di "&amp;IMPOSTAZIONI!$C$6&amp;" giorni","")&amp;IF(AND($C44&lt;&gt;"",$C44&gt;=TODAY(),$I44&lt;&gt;"",$C44-$I44&gt;IMPOSTAZIONI!$C$7)," · rientro oltre "&amp;IMPOSTAZIONI!$C$7&amp;" giorni",""))=0,"",MID(IF(AND($C44&lt;&gt;"",$C44=TODAY())," · oggi in centro","")&amp;IF(AND($C44&lt;&gt;"",$C44&gt;=TODAY(),N($D44)+1&gt;=IMPOSTAZIONI!$C$5)," · ultima del ciclo, proponi il mantenimento","")&amp;IF(AND($C44&lt;&gt;"",$C44&gt;=TODAY(),$I44&lt;&gt;"",$C44-$I44&lt;IMPOSTAZIONI!$C$6)," · rientro anticipato, meno di "&amp;IMPOSTAZIONI!$C$6&amp;" giorni","")&amp;IF(AND($C44&lt;&gt;"",$C44&gt;=TODAY(),$I44&lt;&gt;"",$C44-$I44&gt;IMPOSTAZIONI!$C$7)," · rientro oltre "&amp;IMPOSTAZIONI!$C$7&amp;" giorni",""),4,300)))</f>
        <v/>
      </c>
      <c r="G44" s="16" t="n"/>
      <c r="H44" s="11" t="n"/>
      <c r="I44" s="13" t="n"/>
      <c r="J44" s="17">
        <f>IF($I44="","",TODAY()-$I44)</f>
        <v/>
      </c>
      <c r="K44" s="17">
        <f>IF($C44="","",$C44-TODAY())</f>
        <v/>
      </c>
      <c r="L44" s="15">
        <f>IF($A44="","",N($D44)&amp;"/"&amp;IMPOSTAZIONI!$C$5)</f>
        <v/>
      </c>
      <c r="M44" s="15">
        <f>IF($S44="","",IF($S44="RECUPERA CON INCENTIVO",INCENTIVI!$C$7,IF($S44="RICHIAMO MANTENIMENTO",INCENTIVI!$C$6,IF(OR($S44="FUORI FINESTRA",$S44="ULTIMA SEDUTA"),INCENTIVI!$C$5,""))))</f>
        <v/>
      </c>
      <c r="N44" s="18" t="n"/>
      <c r="O44" s="19">
        <f>IF($A44="","",N($D44)*N($N44))</f>
        <v/>
      </c>
      <c r="P44" s="19">
        <f>IF($A44="","",MAX(0,(IMPOSTAZIONI!$C$5-N($D44))*N($N44)))</f>
        <v/>
      </c>
      <c r="Q44" s="13" t="n"/>
      <c r="R44" s="11" t="n"/>
      <c r="S44" s="15">
        <f>IF($A44="","",IF(AND($C44&lt;&gt;"",$C44&lt;TODAY(),OR($I44="",$I44&lt;$C44)),"APPUNTAMENTO SALTATO",IF(AND($C44&lt;&gt;"",$C44-TODAY()=1),"CONFERMA DOMANI",IF(AND($C44&lt;&gt;"",$C44-TODAY()=IMPOSTAZIONI!$C$8),"CHIAMA PER CONFERMA",IF(AND($C44&lt;&gt;"",$C44&gt;=TODAY()),"",IF($E44="Sospesa","",IF($E44="Persa","RECUPERA CON INCENTIVO",IF(AND($I44&lt;&gt;"",TODAY()&gt;=EDATE($I44,IMPOSTAZIONI!$C$10)),"RECUPERA CON INCENTIVO",IF($E44="Mantenimento",IF(AND($I44&lt;&gt;"",TODAY()-$I44&gt;=IMPOSTAZIONI!$C$9),"RICHIAMO MANTENIMENTO",""),IF($E44="In ciclo",IF(N($D44)&gt;=IMPOSTAZIONI!$C$5,"ULTIMA SEDUTA",IF(AND($I44&lt;&gt;"",TODAY()-$I44&gt;IMPOSTAZIONI!$C$7),"FUORI FINESTRA","PRENDI APPUNTAMENTO")),IF($E44="Da contattare","PRENDI APPUNTAMENTO","")))))))))))</f>
        <v/>
      </c>
      <c r="T44" s="17">
        <f>IF($S44="","",IFERROR(MATCH($S44,IMPOSTAZIONI!$F$5:$F$12,0),9)*100000000+(9999-MIN(9999,ROUND(N($O44)/100,0)))*10000+ROW())</f>
        <v/>
      </c>
    </row>
    <row r="45">
      <c r="A45" s="11" t="n"/>
      <c r="B45" s="12">
        <f>IF($S45="","",IFERROR(MATCH($S45,IMPOSTAZIONI!$F$5:$F$12,0),9)&amp;" · "&amp;$S45)</f>
        <v/>
      </c>
      <c r="C45" s="13" t="n"/>
      <c r="D45" s="14" t="n"/>
      <c r="E45" s="11" t="n"/>
      <c r="F45" s="15">
        <f>IF($A45="","",IF(LEN(IF(AND($C45&lt;&gt;"",$C45=TODAY())," · oggi in centro","")&amp;IF(AND($C45&lt;&gt;"",$C45&gt;=TODAY(),N($D45)+1&gt;=IMPOSTAZIONI!$C$5)," · ultima del ciclo, proponi il mantenimento","")&amp;IF(AND($C45&lt;&gt;"",$C45&gt;=TODAY(),$I45&lt;&gt;"",$C45-$I45&lt;IMPOSTAZIONI!$C$6)," · rientro anticipato, meno di "&amp;IMPOSTAZIONI!$C$6&amp;" giorni","")&amp;IF(AND($C45&lt;&gt;"",$C45&gt;=TODAY(),$I45&lt;&gt;"",$C45-$I45&gt;IMPOSTAZIONI!$C$7)," · rientro oltre "&amp;IMPOSTAZIONI!$C$7&amp;" giorni",""))=0,"",MID(IF(AND($C45&lt;&gt;"",$C45=TODAY())," · oggi in centro","")&amp;IF(AND($C45&lt;&gt;"",$C45&gt;=TODAY(),N($D45)+1&gt;=IMPOSTAZIONI!$C$5)," · ultima del ciclo, proponi il mantenimento","")&amp;IF(AND($C45&lt;&gt;"",$C45&gt;=TODAY(),$I45&lt;&gt;"",$C45-$I45&lt;IMPOSTAZIONI!$C$6)," · rientro anticipato, meno di "&amp;IMPOSTAZIONI!$C$6&amp;" giorni","")&amp;IF(AND($C45&lt;&gt;"",$C45&gt;=TODAY(),$I45&lt;&gt;"",$C45-$I45&gt;IMPOSTAZIONI!$C$7)," · rientro oltre "&amp;IMPOSTAZIONI!$C$7&amp;" giorni",""),4,300)))</f>
        <v/>
      </c>
      <c r="G45" s="16" t="n"/>
      <c r="H45" s="11" t="n"/>
      <c r="I45" s="13" t="n"/>
      <c r="J45" s="17">
        <f>IF($I45="","",TODAY()-$I45)</f>
        <v/>
      </c>
      <c r="K45" s="17">
        <f>IF($C45="","",$C45-TODAY())</f>
        <v/>
      </c>
      <c r="L45" s="15">
        <f>IF($A45="","",N($D45)&amp;"/"&amp;IMPOSTAZIONI!$C$5)</f>
        <v/>
      </c>
      <c r="M45" s="15">
        <f>IF($S45="","",IF($S45="RECUPERA CON INCENTIVO",INCENTIVI!$C$7,IF($S45="RICHIAMO MANTENIMENTO",INCENTIVI!$C$6,IF(OR($S45="FUORI FINESTRA",$S45="ULTIMA SEDUTA"),INCENTIVI!$C$5,""))))</f>
        <v/>
      </c>
      <c r="N45" s="18" t="n"/>
      <c r="O45" s="19">
        <f>IF($A45="","",N($D45)*N($N45))</f>
        <v/>
      </c>
      <c r="P45" s="19">
        <f>IF($A45="","",MAX(0,(IMPOSTAZIONI!$C$5-N($D45))*N($N45)))</f>
        <v/>
      </c>
      <c r="Q45" s="13" t="n"/>
      <c r="R45" s="11" t="n"/>
      <c r="S45" s="15">
        <f>IF($A45="","",IF(AND($C45&lt;&gt;"",$C45&lt;TODAY(),OR($I45="",$I45&lt;$C45)),"APPUNTAMENTO SALTATO",IF(AND($C45&lt;&gt;"",$C45-TODAY()=1),"CONFERMA DOMANI",IF(AND($C45&lt;&gt;"",$C45-TODAY()=IMPOSTAZIONI!$C$8),"CHIAMA PER CONFERMA",IF(AND($C45&lt;&gt;"",$C45&gt;=TODAY()),"",IF($E45="Sospesa","",IF($E45="Persa","RECUPERA CON INCENTIVO",IF(AND($I45&lt;&gt;"",TODAY()&gt;=EDATE($I45,IMPOSTAZIONI!$C$10)),"RECUPERA CON INCENTIVO",IF($E45="Mantenimento",IF(AND($I45&lt;&gt;"",TODAY()-$I45&gt;=IMPOSTAZIONI!$C$9),"RICHIAMO MANTENIMENTO",""),IF($E45="In ciclo",IF(N($D45)&gt;=IMPOSTAZIONI!$C$5,"ULTIMA SEDUTA",IF(AND($I45&lt;&gt;"",TODAY()-$I45&gt;IMPOSTAZIONI!$C$7),"FUORI FINESTRA","PRENDI APPUNTAMENTO")),IF($E45="Da contattare","PRENDI APPUNTAMENTO","")))))))))))</f>
        <v/>
      </c>
      <c r="T45" s="17">
        <f>IF($S45="","",IFERROR(MATCH($S45,IMPOSTAZIONI!$F$5:$F$12,0),9)*100000000+(9999-MIN(9999,ROUND(N($O45)/100,0)))*10000+ROW())</f>
        <v/>
      </c>
    </row>
    <row r="46">
      <c r="A46" s="11" t="n"/>
      <c r="B46" s="12">
        <f>IF($S46="","",IFERROR(MATCH($S46,IMPOSTAZIONI!$F$5:$F$12,0),9)&amp;" · "&amp;$S46)</f>
        <v/>
      </c>
      <c r="C46" s="13" t="n"/>
      <c r="D46" s="14" t="n"/>
      <c r="E46" s="11" t="n"/>
      <c r="F46" s="15">
        <f>IF($A46="","",IF(LEN(IF(AND($C46&lt;&gt;"",$C46=TODAY())," · oggi in centro","")&amp;IF(AND($C46&lt;&gt;"",$C46&gt;=TODAY(),N($D46)+1&gt;=IMPOSTAZIONI!$C$5)," · ultima del ciclo, proponi il mantenimento","")&amp;IF(AND($C46&lt;&gt;"",$C46&gt;=TODAY(),$I46&lt;&gt;"",$C46-$I46&lt;IMPOSTAZIONI!$C$6)," · rientro anticipato, meno di "&amp;IMPOSTAZIONI!$C$6&amp;" giorni","")&amp;IF(AND($C46&lt;&gt;"",$C46&gt;=TODAY(),$I46&lt;&gt;"",$C46-$I46&gt;IMPOSTAZIONI!$C$7)," · rientro oltre "&amp;IMPOSTAZIONI!$C$7&amp;" giorni",""))=0,"",MID(IF(AND($C46&lt;&gt;"",$C46=TODAY())," · oggi in centro","")&amp;IF(AND($C46&lt;&gt;"",$C46&gt;=TODAY(),N($D46)+1&gt;=IMPOSTAZIONI!$C$5)," · ultima del ciclo, proponi il mantenimento","")&amp;IF(AND($C46&lt;&gt;"",$C46&gt;=TODAY(),$I46&lt;&gt;"",$C46-$I46&lt;IMPOSTAZIONI!$C$6)," · rientro anticipato, meno di "&amp;IMPOSTAZIONI!$C$6&amp;" giorni","")&amp;IF(AND($C46&lt;&gt;"",$C46&gt;=TODAY(),$I46&lt;&gt;"",$C46-$I46&gt;IMPOSTAZIONI!$C$7)," · rientro oltre "&amp;IMPOSTAZIONI!$C$7&amp;" giorni",""),4,300)))</f>
        <v/>
      </c>
      <c r="G46" s="16" t="n"/>
      <c r="H46" s="11" t="n"/>
      <c r="I46" s="13" t="n"/>
      <c r="J46" s="17">
        <f>IF($I46="","",TODAY()-$I46)</f>
        <v/>
      </c>
      <c r="K46" s="17">
        <f>IF($C46="","",$C46-TODAY())</f>
        <v/>
      </c>
      <c r="L46" s="15">
        <f>IF($A46="","",N($D46)&amp;"/"&amp;IMPOSTAZIONI!$C$5)</f>
        <v/>
      </c>
      <c r="M46" s="15">
        <f>IF($S46="","",IF($S46="RECUPERA CON INCENTIVO",INCENTIVI!$C$7,IF($S46="RICHIAMO MANTENIMENTO",INCENTIVI!$C$6,IF(OR($S46="FUORI FINESTRA",$S46="ULTIMA SEDUTA"),INCENTIVI!$C$5,""))))</f>
        <v/>
      </c>
      <c r="N46" s="18" t="n"/>
      <c r="O46" s="19">
        <f>IF($A46="","",N($D46)*N($N46))</f>
        <v/>
      </c>
      <c r="P46" s="19">
        <f>IF($A46="","",MAX(0,(IMPOSTAZIONI!$C$5-N($D46))*N($N46)))</f>
        <v/>
      </c>
      <c r="Q46" s="13" t="n"/>
      <c r="R46" s="11" t="n"/>
      <c r="S46" s="15">
        <f>IF($A46="","",IF(AND($C46&lt;&gt;"",$C46&lt;TODAY(),OR($I46="",$I46&lt;$C46)),"APPUNTAMENTO SALTATO",IF(AND($C46&lt;&gt;"",$C46-TODAY()=1),"CONFERMA DOMANI",IF(AND($C46&lt;&gt;"",$C46-TODAY()=IMPOSTAZIONI!$C$8),"CHIAMA PER CONFERMA",IF(AND($C46&lt;&gt;"",$C46&gt;=TODAY()),"",IF($E46="Sospesa","",IF($E46="Persa","RECUPERA CON INCENTIVO",IF(AND($I46&lt;&gt;"",TODAY()&gt;=EDATE($I46,IMPOSTAZIONI!$C$10)),"RECUPERA CON INCENTIVO",IF($E46="Mantenimento",IF(AND($I46&lt;&gt;"",TODAY()-$I46&gt;=IMPOSTAZIONI!$C$9),"RICHIAMO MANTENIMENTO",""),IF($E46="In ciclo",IF(N($D46)&gt;=IMPOSTAZIONI!$C$5,"ULTIMA SEDUTA",IF(AND($I46&lt;&gt;"",TODAY()-$I46&gt;IMPOSTAZIONI!$C$7),"FUORI FINESTRA","PRENDI APPUNTAMENTO")),IF($E46="Da contattare","PRENDI APPUNTAMENTO","")))))))))))</f>
        <v/>
      </c>
      <c r="T46" s="17">
        <f>IF($S46="","",IFERROR(MATCH($S46,IMPOSTAZIONI!$F$5:$F$12,0),9)*100000000+(9999-MIN(9999,ROUND(N($O46)/100,0)))*10000+ROW())</f>
        <v/>
      </c>
    </row>
    <row r="47">
      <c r="A47" s="11" t="n"/>
      <c r="B47" s="12">
        <f>IF($S47="","",IFERROR(MATCH($S47,IMPOSTAZIONI!$F$5:$F$12,0),9)&amp;" · "&amp;$S47)</f>
        <v/>
      </c>
      <c r="C47" s="13" t="n"/>
      <c r="D47" s="14" t="n"/>
      <c r="E47" s="11" t="n"/>
      <c r="F47" s="15">
        <f>IF($A47="","",IF(LEN(IF(AND($C47&lt;&gt;"",$C47=TODAY())," · oggi in centro","")&amp;IF(AND($C47&lt;&gt;"",$C47&gt;=TODAY(),N($D47)+1&gt;=IMPOSTAZIONI!$C$5)," · ultima del ciclo, proponi il mantenimento","")&amp;IF(AND($C47&lt;&gt;"",$C47&gt;=TODAY(),$I47&lt;&gt;"",$C47-$I47&lt;IMPOSTAZIONI!$C$6)," · rientro anticipato, meno di "&amp;IMPOSTAZIONI!$C$6&amp;" giorni","")&amp;IF(AND($C47&lt;&gt;"",$C47&gt;=TODAY(),$I47&lt;&gt;"",$C47-$I47&gt;IMPOSTAZIONI!$C$7)," · rientro oltre "&amp;IMPOSTAZIONI!$C$7&amp;" giorni",""))=0,"",MID(IF(AND($C47&lt;&gt;"",$C47=TODAY())," · oggi in centro","")&amp;IF(AND($C47&lt;&gt;"",$C47&gt;=TODAY(),N($D47)+1&gt;=IMPOSTAZIONI!$C$5)," · ultima del ciclo, proponi il mantenimento","")&amp;IF(AND($C47&lt;&gt;"",$C47&gt;=TODAY(),$I47&lt;&gt;"",$C47-$I47&lt;IMPOSTAZIONI!$C$6)," · rientro anticipato, meno di "&amp;IMPOSTAZIONI!$C$6&amp;" giorni","")&amp;IF(AND($C47&lt;&gt;"",$C47&gt;=TODAY(),$I47&lt;&gt;"",$C47-$I47&gt;IMPOSTAZIONI!$C$7)," · rientro oltre "&amp;IMPOSTAZIONI!$C$7&amp;" giorni",""),4,300)))</f>
        <v/>
      </c>
      <c r="G47" s="16" t="n"/>
      <c r="H47" s="11" t="n"/>
      <c r="I47" s="13" t="n"/>
      <c r="J47" s="17">
        <f>IF($I47="","",TODAY()-$I47)</f>
        <v/>
      </c>
      <c r="K47" s="17">
        <f>IF($C47="","",$C47-TODAY())</f>
        <v/>
      </c>
      <c r="L47" s="15">
        <f>IF($A47="","",N($D47)&amp;"/"&amp;IMPOSTAZIONI!$C$5)</f>
        <v/>
      </c>
      <c r="M47" s="15">
        <f>IF($S47="","",IF($S47="RECUPERA CON INCENTIVO",INCENTIVI!$C$7,IF($S47="RICHIAMO MANTENIMENTO",INCENTIVI!$C$6,IF(OR($S47="FUORI FINESTRA",$S47="ULTIMA SEDUTA"),INCENTIVI!$C$5,""))))</f>
        <v/>
      </c>
      <c r="N47" s="18" t="n"/>
      <c r="O47" s="19">
        <f>IF($A47="","",N($D47)*N($N47))</f>
        <v/>
      </c>
      <c r="P47" s="19">
        <f>IF($A47="","",MAX(0,(IMPOSTAZIONI!$C$5-N($D47))*N($N47)))</f>
        <v/>
      </c>
      <c r="Q47" s="13" t="n"/>
      <c r="R47" s="11" t="n"/>
      <c r="S47" s="15">
        <f>IF($A47="","",IF(AND($C47&lt;&gt;"",$C47&lt;TODAY(),OR($I47="",$I47&lt;$C47)),"APPUNTAMENTO SALTATO",IF(AND($C47&lt;&gt;"",$C47-TODAY()=1),"CONFERMA DOMANI",IF(AND($C47&lt;&gt;"",$C47-TODAY()=IMPOSTAZIONI!$C$8),"CHIAMA PER CONFERMA",IF(AND($C47&lt;&gt;"",$C47&gt;=TODAY()),"",IF($E47="Sospesa","",IF($E47="Persa","RECUPERA CON INCENTIVO",IF(AND($I47&lt;&gt;"",TODAY()&gt;=EDATE($I47,IMPOSTAZIONI!$C$10)),"RECUPERA CON INCENTIVO",IF($E47="Mantenimento",IF(AND($I47&lt;&gt;"",TODAY()-$I47&gt;=IMPOSTAZIONI!$C$9),"RICHIAMO MANTENIMENTO",""),IF($E47="In ciclo",IF(N($D47)&gt;=IMPOSTAZIONI!$C$5,"ULTIMA SEDUTA",IF(AND($I47&lt;&gt;"",TODAY()-$I47&gt;IMPOSTAZIONI!$C$7),"FUORI FINESTRA","PRENDI APPUNTAMENTO")),IF($E47="Da contattare","PRENDI APPUNTAMENTO","")))))))))))</f>
        <v/>
      </c>
      <c r="T47" s="17">
        <f>IF($S47="","",IFERROR(MATCH($S47,IMPOSTAZIONI!$F$5:$F$12,0),9)*100000000+(9999-MIN(9999,ROUND(N($O47)/100,0)))*10000+ROW())</f>
        <v/>
      </c>
    </row>
    <row r="48">
      <c r="A48" s="11" t="n"/>
      <c r="B48" s="12">
        <f>IF($S48="","",IFERROR(MATCH($S48,IMPOSTAZIONI!$F$5:$F$12,0),9)&amp;" · "&amp;$S48)</f>
        <v/>
      </c>
      <c r="C48" s="13" t="n"/>
      <c r="D48" s="14" t="n"/>
      <c r="E48" s="11" t="n"/>
      <c r="F48" s="15">
        <f>IF($A48="","",IF(LEN(IF(AND($C48&lt;&gt;"",$C48=TODAY())," · oggi in centro","")&amp;IF(AND($C48&lt;&gt;"",$C48&gt;=TODAY(),N($D48)+1&gt;=IMPOSTAZIONI!$C$5)," · ultima del ciclo, proponi il mantenimento","")&amp;IF(AND($C48&lt;&gt;"",$C48&gt;=TODAY(),$I48&lt;&gt;"",$C48-$I48&lt;IMPOSTAZIONI!$C$6)," · rientro anticipato, meno di "&amp;IMPOSTAZIONI!$C$6&amp;" giorni","")&amp;IF(AND($C48&lt;&gt;"",$C48&gt;=TODAY(),$I48&lt;&gt;"",$C48-$I48&gt;IMPOSTAZIONI!$C$7)," · rientro oltre "&amp;IMPOSTAZIONI!$C$7&amp;" giorni",""))=0,"",MID(IF(AND($C48&lt;&gt;"",$C48=TODAY())," · oggi in centro","")&amp;IF(AND($C48&lt;&gt;"",$C48&gt;=TODAY(),N($D48)+1&gt;=IMPOSTAZIONI!$C$5)," · ultima del ciclo, proponi il mantenimento","")&amp;IF(AND($C48&lt;&gt;"",$C48&gt;=TODAY(),$I48&lt;&gt;"",$C48-$I48&lt;IMPOSTAZIONI!$C$6)," · rientro anticipato, meno di "&amp;IMPOSTAZIONI!$C$6&amp;" giorni","")&amp;IF(AND($C48&lt;&gt;"",$C48&gt;=TODAY(),$I48&lt;&gt;"",$C48-$I48&gt;IMPOSTAZIONI!$C$7)," · rientro oltre "&amp;IMPOSTAZIONI!$C$7&amp;" giorni",""),4,300)))</f>
        <v/>
      </c>
      <c r="G48" s="16" t="n"/>
      <c r="H48" s="11" t="n"/>
      <c r="I48" s="13" t="n"/>
      <c r="J48" s="17">
        <f>IF($I48="","",TODAY()-$I48)</f>
        <v/>
      </c>
      <c r="K48" s="17">
        <f>IF($C48="","",$C48-TODAY())</f>
        <v/>
      </c>
      <c r="L48" s="15">
        <f>IF($A48="","",N($D48)&amp;"/"&amp;IMPOSTAZIONI!$C$5)</f>
        <v/>
      </c>
      <c r="M48" s="15">
        <f>IF($S48="","",IF($S48="RECUPERA CON INCENTIVO",INCENTIVI!$C$7,IF($S48="RICHIAMO MANTENIMENTO",INCENTIVI!$C$6,IF(OR($S48="FUORI FINESTRA",$S48="ULTIMA SEDUTA"),INCENTIVI!$C$5,""))))</f>
        <v/>
      </c>
      <c r="N48" s="18" t="n"/>
      <c r="O48" s="19">
        <f>IF($A48="","",N($D48)*N($N48))</f>
        <v/>
      </c>
      <c r="P48" s="19">
        <f>IF($A48="","",MAX(0,(IMPOSTAZIONI!$C$5-N($D48))*N($N48)))</f>
        <v/>
      </c>
      <c r="Q48" s="13" t="n"/>
      <c r="R48" s="11" t="n"/>
      <c r="S48" s="15">
        <f>IF($A48="","",IF(AND($C48&lt;&gt;"",$C48&lt;TODAY(),OR($I48="",$I48&lt;$C48)),"APPUNTAMENTO SALTATO",IF(AND($C48&lt;&gt;"",$C48-TODAY()=1),"CONFERMA DOMANI",IF(AND($C48&lt;&gt;"",$C48-TODAY()=IMPOSTAZIONI!$C$8),"CHIAMA PER CONFERMA",IF(AND($C48&lt;&gt;"",$C48&gt;=TODAY()),"",IF($E48="Sospesa","",IF($E48="Persa","RECUPERA CON INCENTIVO",IF(AND($I48&lt;&gt;"",TODAY()&gt;=EDATE($I48,IMPOSTAZIONI!$C$10)),"RECUPERA CON INCENTIVO",IF($E48="Mantenimento",IF(AND($I48&lt;&gt;"",TODAY()-$I48&gt;=IMPOSTAZIONI!$C$9),"RICHIAMO MANTENIMENTO",""),IF($E48="In ciclo",IF(N($D48)&gt;=IMPOSTAZIONI!$C$5,"ULTIMA SEDUTA",IF(AND($I48&lt;&gt;"",TODAY()-$I48&gt;IMPOSTAZIONI!$C$7),"FUORI FINESTRA","PRENDI APPUNTAMENTO")),IF($E48="Da contattare","PRENDI APPUNTAMENTO","")))))))))))</f>
        <v/>
      </c>
      <c r="T48" s="17">
        <f>IF($S48="","",IFERROR(MATCH($S48,IMPOSTAZIONI!$F$5:$F$12,0),9)*100000000+(9999-MIN(9999,ROUND(N($O48)/100,0)))*10000+ROW())</f>
        <v/>
      </c>
    </row>
    <row r="49">
      <c r="A49" s="11" t="n"/>
      <c r="B49" s="12">
        <f>IF($S49="","",IFERROR(MATCH($S49,IMPOSTAZIONI!$F$5:$F$12,0),9)&amp;" · "&amp;$S49)</f>
        <v/>
      </c>
      <c r="C49" s="13" t="n"/>
      <c r="D49" s="14" t="n"/>
      <c r="E49" s="11" t="n"/>
      <c r="F49" s="15">
        <f>IF($A49="","",IF(LEN(IF(AND($C49&lt;&gt;"",$C49=TODAY())," · oggi in centro","")&amp;IF(AND($C49&lt;&gt;"",$C49&gt;=TODAY(),N($D49)+1&gt;=IMPOSTAZIONI!$C$5)," · ultima del ciclo, proponi il mantenimento","")&amp;IF(AND($C49&lt;&gt;"",$C49&gt;=TODAY(),$I49&lt;&gt;"",$C49-$I49&lt;IMPOSTAZIONI!$C$6)," · rientro anticipato, meno di "&amp;IMPOSTAZIONI!$C$6&amp;" giorni","")&amp;IF(AND($C49&lt;&gt;"",$C49&gt;=TODAY(),$I49&lt;&gt;"",$C49-$I49&gt;IMPOSTAZIONI!$C$7)," · rientro oltre "&amp;IMPOSTAZIONI!$C$7&amp;" giorni",""))=0,"",MID(IF(AND($C49&lt;&gt;"",$C49=TODAY())," · oggi in centro","")&amp;IF(AND($C49&lt;&gt;"",$C49&gt;=TODAY(),N($D49)+1&gt;=IMPOSTAZIONI!$C$5)," · ultima del ciclo, proponi il mantenimento","")&amp;IF(AND($C49&lt;&gt;"",$C49&gt;=TODAY(),$I49&lt;&gt;"",$C49-$I49&lt;IMPOSTAZIONI!$C$6)," · rientro anticipato, meno di "&amp;IMPOSTAZIONI!$C$6&amp;" giorni","")&amp;IF(AND($C49&lt;&gt;"",$C49&gt;=TODAY(),$I49&lt;&gt;"",$C49-$I49&gt;IMPOSTAZIONI!$C$7)," · rientro oltre "&amp;IMPOSTAZIONI!$C$7&amp;" giorni",""),4,300)))</f>
        <v/>
      </c>
      <c r="G49" s="16" t="n"/>
      <c r="H49" s="11" t="n"/>
      <c r="I49" s="13" t="n"/>
      <c r="J49" s="17">
        <f>IF($I49="","",TODAY()-$I49)</f>
        <v/>
      </c>
      <c r="K49" s="17">
        <f>IF($C49="","",$C49-TODAY())</f>
        <v/>
      </c>
      <c r="L49" s="15">
        <f>IF($A49="","",N($D49)&amp;"/"&amp;IMPOSTAZIONI!$C$5)</f>
        <v/>
      </c>
      <c r="M49" s="15">
        <f>IF($S49="","",IF($S49="RECUPERA CON INCENTIVO",INCENTIVI!$C$7,IF($S49="RICHIAMO MANTENIMENTO",INCENTIVI!$C$6,IF(OR($S49="FUORI FINESTRA",$S49="ULTIMA SEDUTA"),INCENTIVI!$C$5,""))))</f>
        <v/>
      </c>
      <c r="N49" s="18" t="n"/>
      <c r="O49" s="19">
        <f>IF($A49="","",N($D49)*N($N49))</f>
        <v/>
      </c>
      <c r="P49" s="19">
        <f>IF($A49="","",MAX(0,(IMPOSTAZIONI!$C$5-N($D49))*N($N49)))</f>
        <v/>
      </c>
      <c r="Q49" s="13" t="n"/>
      <c r="R49" s="11" t="n"/>
      <c r="S49" s="15">
        <f>IF($A49="","",IF(AND($C49&lt;&gt;"",$C49&lt;TODAY(),OR($I49="",$I49&lt;$C49)),"APPUNTAMENTO SALTATO",IF(AND($C49&lt;&gt;"",$C49-TODAY()=1),"CONFERMA DOMANI",IF(AND($C49&lt;&gt;"",$C49-TODAY()=IMPOSTAZIONI!$C$8),"CHIAMA PER CONFERMA",IF(AND($C49&lt;&gt;"",$C49&gt;=TODAY()),"",IF($E49="Sospesa","",IF($E49="Persa","RECUPERA CON INCENTIVO",IF(AND($I49&lt;&gt;"",TODAY()&gt;=EDATE($I49,IMPOSTAZIONI!$C$10)),"RECUPERA CON INCENTIVO",IF($E49="Mantenimento",IF(AND($I49&lt;&gt;"",TODAY()-$I49&gt;=IMPOSTAZIONI!$C$9),"RICHIAMO MANTENIMENTO",""),IF($E49="In ciclo",IF(N($D49)&gt;=IMPOSTAZIONI!$C$5,"ULTIMA SEDUTA",IF(AND($I49&lt;&gt;"",TODAY()-$I49&gt;IMPOSTAZIONI!$C$7),"FUORI FINESTRA","PRENDI APPUNTAMENTO")),IF($E49="Da contattare","PRENDI APPUNTAMENTO","")))))))))))</f>
        <v/>
      </c>
      <c r="T49" s="17">
        <f>IF($S49="","",IFERROR(MATCH($S49,IMPOSTAZIONI!$F$5:$F$12,0),9)*100000000+(9999-MIN(9999,ROUND(N($O49)/100,0)))*10000+ROW())</f>
        <v/>
      </c>
    </row>
    <row r="50">
      <c r="A50" s="11" t="n"/>
      <c r="B50" s="12">
        <f>IF($S50="","",IFERROR(MATCH($S50,IMPOSTAZIONI!$F$5:$F$12,0),9)&amp;" · "&amp;$S50)</f>
        <v/>
      </c>
      <c r="C50" s="13" t="n"/>
      <c r="D50" s="14" t="n"/>
      <c r="E50" s="11" t="n"/>
      <c r="F50" s="15">
        <f>IF($A50="","",IF(LEN(IF(AND($C50&lt;&gt;"",$C50=TODAY())," · oggi in centro","")&amp;IF(AND($C50&lt;&gt;"",$C50&gt;=TODAY(),N($D50)+1&gt;=IMPOSTAZIONI!$C$5)," · ultima del ciclo, proponi il mantenimento","")&amp;IF(AND($C50&lt;&gt;"",$C50&gt;=TODAY(),$I50&lt;&gt;"",$C50-$I50&lt;IMPOSTAZIONI!$C$6)," · rientro anticipato, meno di "&amp;IMPOSTAZIONI!$C$6&amp;" giorni","")&amp;IF(AND($C50&lt;&gt;"",$C50&gt;=TODAY(),$I50&lt;&gt;"",$C50-$I50&gt;IMPOSTAZIONI!$C$7)," · rientro oltre "&amp;IMPOSTAZIONI!$C$7&amp;" giorni",""))=0,"",MID(IF(AND($C50&lt;&gt;"",$C50=TODAY())," · oggi in centro","")&amp;IF(AND($C50&lt;&gt;"",$C50&gt;=TODAY(),N($D50)+1&gt;=IMPOSTAZIONI!$C$5)," · ultima del ciclo, proponi il mantenimento","")&amp;IF(AND($C50&lt;&gt;"",$C50&gt;=TODAY(),$I50&lt;&gt;"",$C50-$I50&lt;IMPOSTAZIONI!$C$6)," · rientro anticipato, meno di "&amp;IMPOSTAZIONI!$C$6&amp;" giorni","")&amp;IF(AND($C50&lt;&gt;"",$C50&gt;=TODAY(),$I50&lt;&gt;"",$C50-$I50&gt;IMPOSTAZIONI!$C$7)," · rientro oltre "&amp;IMPOSTAZIONI!$C$7&amp;" giorni",""),4,300)))</f>
        <v/>
      </c>
      <c r="G50" s="16" t="n"/>
      <c r="H50" s="11" t="n"/>
      <c r="I50" s="13" t="n"/>
      <c r="J50" s="17">
        <f>IF($I50="","",TODAY()-$I50)</f>
        <v/>
      </c>
      <c r="K50" s="17">
        <f>IF($C50="","",$C50-TODAY())</f>
        <v/>
      </c>
      <c r="L50" s="15">
        <f>IF($A50="","",N($D50)&amp;"/"&amp;IMPOSTAZIONI!$C$5)</f>
        <v/>
      </c>
      <c r="M50" s="15">
        <f>IF($S50="","",IF($S50="RECUPERA CON INCENTIVO",INCENTIVI!$C$7,IF($S50="RICHIAMO MANTENIMENTO",INCENTIVI!$C$6,IF(OR($S50="FUORI FINESTRA",$S50="ULTIMA SEDUTA"),INCENTIVI!$C$5,""))))</f>
        <v/>
      </c>
      <c r="N50" s="18" t="n"/>
      <c r="O50" s="19">
        <f>IF($A50="","",N($D50)*N($N50))</f>
        <v/>
      </c>
      <c r="P50" s="19">
        <f>IF($A50="","",MAX(0,(IMPOSTAZIONI!$C$5-N($D50))*N($N50)))</f>
        <v/>
      </c>
      <c r="Q50" s="13" t="n"/>
      <c r="R50" s="11" t="n"/>
      <c r="S50" s="15">
        <f>IF($A50="","",IF(AND($C50&lt;&gt;"",$C50&lt;TODAY(),OR($I50="",$I50&lt;$C50)),"APPUNTAMENTO SALTATO",IF(AND($C50&lt;&gt;"",$C50-TODAY()=1),"CONFERMA DOMANI",IF(AND($C50&lt;&gt;"",$C50-TODAY()=IMPOSTAZIONI!$C$8),"CHIAMA PER CONFERMA",IF(AND($C50&lt;&gt;"",$C50&gt;=TODAY()),"",IF($E50="Sospesa","",IF($E50="Persa","RECUPERA CON INCENTIVO",IF(AND($I50&lt;&gt;"",TODAY()&gt;=EDATE($I50,IMPOSTAZIONI!$C$10)),"RECUPERA CON INCENTIVO",IF($E50="Mantenimento",IF(AND($I50&lt;&gt;"",TODAY()-$I50&gt;=IMPOSTAZIONI!$C$9),"RICHIAMO MANTENIMENTO",""),IF($E50="In ciclo",IF(N($D50)&gt;=IMPOSTAZIONI!$C$5,"ULTIMA SEDUTA",IF(AND($I50&lt;&gt;"",TODAY()-$I50&gt;IMPOSTAZIONI!$C$7),"FUORI FINESTRA","PRENDI APPUNTAMENTO")),IF($E50="Da contattare","PRENDI APPUNTAMENTO","")))))))))))</f>
        <v/>
      </c>
      <c r="T50" s="17">
        <f>IF($S50="","",IFERROR(MATCH($S50,IMPOSTAZIONI!$F$5:$F$12,0),9)*100000000+(9999-MIN(9999,ROUND(N($O50)/100,0)))*10000+ROW())</f>
        <v/>
      </c>
    </row>
    <row r="51">
      <c r="A51" s="11" t="n"/>
      <c r="B51" s="12">
        <f>IF($S51="","",IFERROR(MATCH($S51,IMPOSTAZIONI!$F$5:$F$12,0),9)&amp;" · "&amp;$S51)</f>
        <v/>
      </c>
      <c r="C51" s="13" t="n"/>
      <c r="D51" s="14" t="n"/>
      <c r="E51" s="11" t="n"/>
      <c r="F51" s="15">
        <f>IF($A51="","",IF(LEN(IF(AND($C51&lt;&gt;"",$C51=TODAY())," · oggi in centro","")&amp;IF(AND($C51&lt;&gt;"",$C51&gt;=TODAY(),N($D51)+1&gt;=IMPOSTAZIONI!$C$5)," · ultima del ciclo, proponi il mantenimento","")&amp;IF(AND($C51&lt;&gt;"",$C51&gt;=TODAY(),$I51&lt;&gt;"",$C51-$I51&lt;IMPOSTAZIONI!$C$6)," · rientro anticipato, meno di "&amp;IMPOSTAZIONI!$C$6&amp;" giorni","")&amp;IF(AND($C51&lt;&gt;"",$C51&gt;=TODAY(),$I51&lt;&gt;"",$C51-$I51&gt;IMPOSTAZIONI!$C$7)," · rientro oltre "&amp;IMPOSTAZIONI!$C$7&amp;" giorni",""))=0,"",MID(IF(AND($C51&lt;&gt;"",$C51=TODAY())," · oggi in centro","")&amp;IF(AND($C51&lt;&gt;"",$C51&gt;=TODAY(),N($D51)+1&gt;=IMPOSTAZIONI!$C$5)," · ultima del ciclo, proponi il mantenimento","")&amp;IF(AND($C51&lt;&gt;"",$C51&gt;=TODAY(),$I51&lt;&gt;"",$C51-$I51&lt;IMPOSTAZIONI!$C$6)," · rientro anticipato, meno di "&amp;IMPOSTAZIONI!$C$6&amp;" giorni","")&amp;IF(AND($C51&lt;&gt;"",$C51&gt;=TODAY(),$I51&lt;&gt;"",$C51-$I51&gt;IMPOSTAZIONI!$C$7)," · rientro oltre "&amp;IMPOSTAZIONI!$C$7&amp;" giorni",""),4,300)))</f>
        <v/>
      </c>
      <c r="G51" s="16" t="n"/>
      <c r="H51" s="11" t="n"/>
      <c r="I51" s="13" t="n"/>
      <c r="J51" s="17">
        <f>IF($I51="","",TODAY()-$I51)</f>
        <v/>
      </c>
      <c r="K51" s="17">
        <f>IF($C51="","",$C51-TODAY())</f>
        <v/>
      </c>
      <c r="L51" s="15">
        <f>IF($A51="","",N($D51)&amp;"/"&amp;IMPOSTAZIONI!$C$5)</f>
        <v/>
      </c>
      <c r="M51" s="15">
        <f>IF($S51="","",IF($S51="RECUPERA CON INCENTIVO",INCENTIVI!$C$7,IF($S51="RICHIAMO MANTENIMENTO",INCENTIVI!$C$6,IF(OR($S51="FUORI FINESTRA",$S51="ULTIMA SEDUTA"),INCENTIVI!$C$5,""))))</f>
        <v/>
      </c>
      <c r="N51" s="18" t="n"/>
      <c r="O51" s="19">
        <f>IF($A51="","",N($D51)*N($N51))</f>
        <v/>
      </c>
      <c r="P51" s="19">
        <f>IF($A51="","",MAX(0,(IMPOSTAZIONI!$C$5-N($D51))*N($N51)))</f>
        <v/>
      </c>
      <c r="Q51" s="13" t="n"/>
      <c r="R51" s="11" t="n"/>
      <c r="S51" s="15">
        <f>IF($A51="","",IF(AND($C51&lt;&gt;"",$C51&lt;TODAY(),OR($I51="",$I51&lt;$C51)),"APPUNTAMENTO SALTATO",IF(AND($C51&lt;&gt;"",$C51-TODAY()=1),"CONFERMA DOMANI",IF(AND($C51&lt;&gt;"",$C51-TODAY()=IMPOSTAZIONI!$C$8),"CHIAMA PER CONFERMA",IF(AND($C51&lt;&gt;"",$C51&gt;=TODAY()),"",IF($E51="Sospesa","",IF($E51="Persa","RECUPERA CON INCENTIVO",IF(AND($I51&lt;&gt;"",TODAY()&gt;=EDATE($I51,IMPOSTAZIONI!$C$10)),"RECUPERA CON INCENTIVO",IF($E51="Mantenimento",IF(AND($I51&lt;&gt;"",TODAY()-$I51&gt;=IMPOSTAZIONI!$C$9),"RICHIAMO MANTENIMENTO",""),IF($E51="In ciclo",IF(N($D51)&gt;=IMPOSTAZIONI!$C$5,"ULTIMA SEDUTA",IF(AND($I51&lt;&gt;"",TODAY()-$I51&gt;IMPOSTAZIONI!$C$7),"FUORI FINESTRA","PRENDI APPUNTAMENTO")),IF($E51="Da contattare","PRENDI APPUNTAMENTO","")))))))))))</f>
        <v/>
      </c>
      <c r="T51" s="17">
        <f>IF($S51="","",IFERROR(MATCH($S51,IMPOSTAZIONI!$F$5:$F$12,0),9)*100000000+(9999-MIN(9999,ROUND(N($O51)/100,0)))*10000+ROW())</f>
        <v/>
      </c>
    </row>
    <row r="52">
      <c r="A52" s="11" t="n"/>
      <c r="B52" s="12">
        <f>IF($S52="","",IFERROR(MATCH($S52,IMPOSTAZIONI!$F$5:$F$12,0),9)&amp;" · "&amp;$S52)</f>
        <v/>
      </c>
      <c r="C52" s="13" t="n"/>
      <c r="D52" s="14" t="n"/>
      <c r="E52" s="11" t="n"/>
      <c r="F52" s="15">
        <f>IF($A52="","",IF(LEN(IF(AND($C52&lt;&gt;"",$C52=TODAY())," · oggi in centro","")&amp;IF(AND($C52&lt;&gt;"",$C52&gt;=TODAY(),N($D52)+1&gt;=IMPOSTAZIONI!$C$5)," · ultima del ciclo, proponi il mantenimento","")&amp;IF(AND($C52&lt;&gt;"",$C52&gt;=TODAY(),$I52&lt;&gt;"",$C52-$I52&lt;IMPOSTAZIONI!$C$6)," · rientro anticipato, meno di "&amp;IMPOSTAZIONI!$C$6&amp;" giorni","")&amp;IF(AND($C52&lt;&gt;"",$C52&gt;=TODAY(),$I52&lt;&gt;"",$C52-$I52&gt;IMPOSTAZIONI!$C$7)," · rientro oltre "&amp;IMPOSTAZIONI!$C$7&amp;" giorni",""))=0,"",MID(IF(AND($C52&lt;&gt;"",$C52=TODAY())," · oggi in centro","")&amp;IF(AND($C52&lt;&gt;"",$C52&gt;=TODAY(),N($D52)+1&gt;=IMPOSTAZIONI!$C$5)," · ultima del ciclo, proponi il mantenimento","")&amp;IF(AND($C52&lt;&gt;"",$C52&gt;=TODAY(),$I52&lt;&gt;"",$C52-$I52&lt;IMPOSTAZIONI!$C$6)," · rientro anticipato, meno di "&amp;IMPOSTAZIONI!$C$6&amp;" giorni","")&amp;IF(AND($C52&lt;&gt;"",$C52&gt;=TODAY(),$I52&lt;&gt;"",$C52-$I52&gt;IMPOSTAZIONI!$C$7)," · rientro oltre "&amp;IMPOSTAZIONI!$C$7&amp;" giorni",""),4,300)))</f>
        <v/>
      </c>
      <c r="G52" s="16" t="n"/>
      <c r="H52" s="11" t="n"/>
      <c r="I52" s="13" t="n"/>
      <c r="J52" s="17">
        <f>IF($I52="","",TODAY()-$I52)</f>
        <v/>
      </c>
      <c r="K52" s="17">
        <f>IF($C52="","",$C52-TODAY())</f>
        <v/>
      </c>
      <c r="L52" s="15">
        <f>IF($A52="","",N($D52)&amp;"/"&amp;IMPOSTAZIONI!$C$5)</f>
        <v/>
      </c>
      <c r="M52" s="15">
        <f>IF($S52="","",IF($S52="RECUPERA CON INCENTIVO",INCENTIVI!$C$7,IF($S52="RICHIAMO MANTENIMENTO",INCENTIVI!$C$6,IF(OR($S52="FUORI FINESTRA",$S52="ULTIMA SEDUTA"),INCENTIVI!$C$5,""))))</f>
        <v/>
      </c>
      <c r="N52" s="18" t="n"/>
      <c r="O52" s="19">
        <f>IF($A52="","",N($D52)*N($N52))</f>
        <v/>
      </c>
      <c r="P52" s="19">
        <f>IF($A52="","",MAX(0,(IMPOSTAZIONI!$C$5-N($D52))*N($N52)))</f>
        <v/>
      </c>
      <c r="Q52" s="13" t="n"/>
      <c r="R52" s="11" t="n"/>
      <c r="S52" s="15">
        <f>IF($A52="","",IF(AND($C52&lt;&gt;"",$C52&lt;TODAY(),OR($I52="",$I52&lt;$C52)),"APPUNTAMENTO SALTATO",IF(AND($C52&lt;&gt;"",$C52-TODAY()=1),"CONFERMA DOMANI",IF(AND($C52&lt;&gt;"",$C52-TODAY()=IMPOSTAZIONI!$C$8),"CHIAMA PER CONFERMA",IF(AND($C52&lt;&gt;"",$C52&gt;=TODAY()),"",IF($E52="Sospesa","",IF($E52="Persa","RECUPERA CON INCENTIVO",IF(AND($I52&lt;&gt;"",TODAY()&gt;=EDATE($I52,IMPOSTAZIONI!$C$10)),"RECUPERA CON INCENTIVO",IF($E52="Mantenimento",IF(AND($I52&lt;&gt;"",TODAY()-$I52&gt;=IMPOSTAZIONI!$C$9),"RICHIAMO MANTENIMENTO",""),IF($E52="In ciclo",IF(N($D52)&gt;=IMPOSTAZIONI!$C$5,"ULTIMA SEDUTA",IF(AND($I52&lt;&gt;"",TODAY()-$I52&gt;IMPOSTAZIONI!$C$7),"FUORI FINESTRA","PRENDI APPUNTAMENTO")),IF($E52="Da contattare","PRENDI APPUNTAMENTO","")))))))))))</f>
        <v/>
      </c>
      <c r="T52" s="17">
        <f>IF($S52="","",IFERROR(MATCH($S52,IMPOSTAZIONI!$F$5:$F$12,0),9)*100000000+(9999-MIN(9999,ROUND(N($O52)/100,0)))*10000+ROW())</f>
        <v/>
      </c>
    </row>
    <row r="53">
      <c r="A53" s="11" t="n"/>
      <c r="B53" s="12">
        <f>IF($S53="","",IFERROR(MATCH($S53,IMPOSTAZIONI!$F$5:$F$12,0),9)&amp;" · "&amp;$S53)</f>
        <v/>
      </c>
      <c r="C53" s="13" t="n"/>
      <c r="D53" s="14" t="n"/>
      <c r="E53" s="11" t="n"/>
      <c r="F53" s="15">
        <f>IF($A53="","",IF(LEN(IF(AND($C53&lt;&gt;"",$C53=TODAY())," · oggi in centro","")&amp;IF(AND($C53&lt;&gt;"",$C53&gt;=TODAY(),N($D53)+1&gt;=IMPOSTAZIONI!$C$5)," · ultima del ciclo, proponi il mantenimento","")&amp;IF(AND($C53&lt;&gt;"",$C53&gt;=TODAY(),$I53&lt;&gt;"",$C53-$I53&lt;IMPOSTAZIONI!$C$6)," · rientro anticipato, meno di "&amp;IMPOSTAZIONI!$C$6&amp;" giorni","")&amp;IF(AND($C53&lt;&gt;"",$C53&gt;=TODAY(),$I53&lt;&gt;"",$C53-$I53&gt;IMPOSTAZIONI!$C$7)," · rientro oltre "&amp;IMPOSTAZIONI!$C$7&amp;" giorni",""))=0,"",MID(IF(AND($C53&lt;&gt;"",$C53=TODAY())," · oggi in centro","")&amp;IF(AND($C53&lt;&gt;"",$C53&gt;=TODAY(),N($D53)+1&gt;=IMPOSTAZIONI!$C$5)," · ultima del ciclo, proponi il mantenimento","")&amp;IF(AND($C53&lt;&gt;"",$C53&gt;=TODAY(),$I53&lt;&gt;"",$C53-$I53&lt;IMPOSTAZIONI!$C$6)," · rientro anticipato, meno di "&amp;IMPOSTAZIONI!$C$6&amp;" giorni","")&amp;IF(AND($C53&lt;&gt;"",$C53&gt;=TODAY(),$I53&lt;&gt;"",$C53-$I53&gt;IMPOSTAZIONI!$C$7)," · rientro oltre "&amp;IMPOSTAZIONI!$C$7&amp;" giorni",""),4,300)))</f>
        <v/>
      </c>
      <c r="G53" s="16" t="n"/>
      <c r="H53" s="11" t="n"/>
      <c r="I53" s="13" t="n"/>
      <c r="J53" s="17">
        <f>IF($I53="","",TODAY()-$I53)</f>
        <v/>
      </c>
      <c r="K53" s="17">
        <f>IF($C53="","",$C53-TODAY())</f>
        <v/>
      </c>
      <c r="L53" s="15">
        <f>IF($A53="","",N($D53)&amp;"/"&amp;IMPOSTAZIONI!$C$5)</f>
        <v/>
      </c>
      <c r="M53" s="15">
        <f>IF($S53="","",IF($S53="RECUPERA CON INCENTIVO",INCENTIVI!$C$7,IF($S53="RICHIAMO MANTENIMENTO",INCENTIVI!$C$6,IF(OR($S53="FUORI FINESTRA",$S53="ULTIMA SEDUTA"),INCENTIVI!$C$5,""))))</f>
        <v/>
      </c>
      <c r="N53" s="18" t="n"/>
      <c r="O53" s="19">
        <f>IF($A53="","",N($D53)*N($N53))</f>
        <v/>
      </c>
      <c r="P53" s="19">
        <f>IF($A53="","",MAX(0,(IMPOSTAZIONI!$C$5-N($D53))*N($N53)))</f>
        <v/>
      </c>
      <c r="Q53" s="13" t="n"/>
      <c r="R53" s="11" t="n"/>
      <c r="S53" s="15">
        <f>IF($A53="","",IF(AND($C53&lt;&gt;"",$C53&lt;TODAY(),OR($I53="",$I53&lt;$C53)),"APPUNTAMENTO SALTATO",IF(AND($C53&lt;&gt;"",$C53-TODAY()=1),"CONFERMA DOMANI",IF(AND($C53&lt;&gt;"",$C53-TODAY()=IMPOSTAZIONI!$C$8),"CHIAMA PER CONFERMA",IF(AND($C53&lt;&gt;"",$C53&gt;=TODAY()),"",IF($E53="Sospesa","",IF($E53="Persa","RECUPERA CON INCENTIVO",IF(AND($I53&lt;&gt;"",TODAY()&gt;=EDATE($I53,IMPOSTAZIONI!$C$10)),"RECUPERA CON INCENTIVO",IF($E53="Mantenimento",IF(AND($I53&lt;&gt;"",TODAY()-$I53&gt;=IMPOSTAZIONI!$C$9),"RICHIAMO MANTENIMENTO",""),IF($E53="In ciclo",IF(N($D53)&gt;=IMPOSTAZIONI!$C$5,"ULTIMA SEDUTA",IF(AND($I53&lt;&gt;"",TODAY()-$I53&gt;IMPOSTAZIONI!$C$7),"FUORI FINESTRA","PRENDI APPUNTAMENTO")),IF($E53="Da contattare","PRENDI APPUNTAMENTO","")))))))))))</f>
        <v/>
      </c>
      <c r="T53" s="17">
        <f>IF($S53="","",IFERROR(MATCH($S53,IMPOSTAZIONI!$F$5:$F$12,0),9)*100000000+(9999-MIN(9999,ROUND(N($O53)/100,0)))*10000+ROW())</f>
        <v/>
      </c>
    </row>
    <row r="54">
      <c r="A54" s="11" t="n"/>
      <c r="B54" s="12">
        <f>IF($S54="","",IFERROR(MATCH($S54,IMPOSTAZIONI!$F$5:$F$12,0),9)&amp;" · "&amp;$S54)</f>
        <v/>
      </c>
      <c r="C54" s="13" t="n"/>
      <c r="D54" s="14" t="n"/>
      <c r="E54" s="11" t="n"/>
      <c r="F54" s="15">
        <f>IF($A54="","",IF(LEN(IF(AND($C54&lt;&gt;"",$C54=TODAY())," · oggi in centro","")&amp;IF(AND($C54&lt;&gt;"",$C54&gt;=TODAY(),N($D54)+1&gt;=IMPOSTAZIONI!$C$5)," · ultima del ciclo, proponi il mantenimento","")&amp;IF(AND($C54&lt;&gt;"",$C54&gt;=TODAY(),$I54&lt;&gt;"",$C54-$I54&lt;IMPOSTAZIONI!$C$6)," · rientro anticipato, meno di "&amp;IMPOSTAZIONI!$C$6&amp;" giorni","")&amp;IF(AND($C54&lt;&gt;"",$C54&gt;=TODAY(),$I54&lt;&gt;"",$C54-$I54&gt;IMPOSTAZIONI!$C$7)," · rientro oltre "&amp;IMPOSTAZIONI!$C$7&amp;" giorni",""))=0,"",MID(IF(AND($C54&lt;&gt;"",$C54=TODAY())," · oggi in centro","")&amp;IF(AND($C54&lt;&gt;"",$C54&gt;=TODAY(),N($D54)+1&gt;=IMPOSTAZIONI!$C$5)," · ultima del ciclo, proponi il mantenimento","")&amp;IF(AND($C54&lt;&gt;"",$C54&gt;=TODAY(),$I54&lt;&gt;"",$C54-$I54&lt;IMPOSTAZIONI!$C$6)," · rientro anticipato, meno di "&amp;IMPOSTAZIONI!$C$6&amp;" giorni","")&amp;IF(AND($C54&lt;&gt;"",$C54&gt;=TODAY(),$I54&lt;&gt;"",$C54-$I54&gt;IMPOSTAZIONI!$C$7)," · rientro oltre "&amp;IMPOSTAZIONI!$C$7&amp;" giorni",""),4,300)))</f>
        <v/>
      </c>
      <c r="G54" s="16" t="n"/>
      <c r="H54" s="11" t="n"/>
      <c r="I54" s="13" t="n"/>
      <c r="J54" s="17">
        <f>IF($I54="","",TODAY()-$I54)</f>
        <v/>
      </c>
      <c r="K54" s="17">
        <f>IF($C54="","",$C54-TODAY())</f>
        <v/>
      </c>
      <c r="L54" s="15">
        <f>IF($A54="","",N($D54)&amp;"/"&amp;IMPOSTAZIONI!$C$5)</f>
        <v/>
      </c>
      <c r="M54" s="15">
        <f>IF($S54="","",IF($S54="RECUPERA CON INCENTIVO",INCENTIVI!$C$7,IF($S54="RICHIAMO MANTENIMENTO",INCENTIVI!$C$6,IF(OR($S54="FUORI FINESTRA",$S54="ULTIMA SEDUTA"),INCENTIVI!$C$5,""))))</f>
        <v/>
      </c>
      <c r="N54" s="18" t="n"/>
      <c r="O54" s="19">
        <f>IF($A54="","",N($D54)*N($N54))</f>
        <v/>
      </c>
      <c r="P54" s="19">
        <f>IF($A54="","",MAX(0,(IMPOSTAZIONI!$C$5-N($D54))*N($N54)))</f>
        <v/>
      </c>
      <c r="Q54" s="13" t="n"/>
      <c r="R54" s="11" t="n"/>
      <c r="S54" s="15">
        <f>IF($A54="","",IF(AND($C54&lt;&gt;"",$C54&lt;TODAY(),OR($I54="",$I54&lt;$C54)),"APPUNTAMENTO SALTATO",IF(AND($C54&lt;&gt;"",$C54-TODAY()=1),"CONFERMA DOMANI",IF(AND($C54&lt;&gt;"",$C54-TODAY()=IMPOSTAZIONI!$C$8),"CHIAMA PER CONFERMA",IF(AND($C54&lt;&gt;"",$C54&gt;=TODAY()),"",IF($E54="Sospesa","",IF($E54="Persa","RECUPERA CON INCENTIVO",IF(AND($I54&lt;&gt;"",TODAY()&gt;=EDATE($I54,IMPOSTAZIONI!$C$10)),"RECUPERA CON INCENTIVO",IF($E54="Mantenimento",IF(AND($I54&lt;&gt;"",TODAY()-$I54&gt;=IMPOSTAZIONI!$C$9),"RICHIAMO MANTENIMENTO",""),IF($E54="In ciclo",IF(N($D54)&gt;=IMPOSTAZIONI!$C$5,"ULTIMA SEDUTA",IF(AND($I54&lt;&gt;"",TODAY()-$I54&gt;IMPOSTAZIONI!$C$7),"FUORI FINESTRA","PRENDI APPUNTAMENTO")),IF($E54="Da contattare","PRENDI APPUNTAMENTO","")))))))))))</f>
        <v/>
      </c>
      <c r="T54" s="17">
        <f>IF($S54="","",IFERROR(MATCH($S54,IMPOSTAZIONI!$F$5:$F$12,0),9)*100000000+(9999-MIN(9999,ROUND(N($O54)/100,0)))*10000+ROW())</f>
        <v/>
      </c>
    </row>
    <row r="55">
      <c r="A55" s="11" t="n"/>
      <c r="B55" s="12">
        <f>IF($S55="","",IFERROR(MATCH($S55,IMPOSTAZIONI!$F$5:$F$12,0),9)&amp;" · "&amp;$S55)</f>
        <v/>
      </c>
      <c r="C55" s="13" t="n"/>
      <c r="D55" s="14" t="n"/>
      <c r="E55" s="11" t="n"/>
      <c r="F55" s="15">
        <f>IF($A55="","",IF(LEN(IF(AND($C55&lt;&gt;"",$C55=TODAY())," · oggi in centro","")&amp;IF(AND($C55&lt;&gt;"",$C55&gt;=TODAY(),N($D55)+1&gt;=IMPOSTAZIONI!$C$5)," · ultima del ciclo, proponi il mantenimento","")&amp;IF(AND($C55&lt;&gt;"",$C55&gt;=TODAY(),$I55&lt;&gt;"",$C55-$I55&lt;IMPOSTAZIONI!$C$6)," · rientro anticipato, meno di "&amp;IMPOSTAZIONI!$C$6&amp;" giorni","")&amp;IF(AND($C55&lt;&gt;"",$C55&gt;=TODAY(),$I55&lt;&gt;"",$C55-$I55&gt;IMPOSTAZIONI!$C$7)," · rientro oltre "&amp;IMPOSTAZIONI!$C$7&amp;" giorni",""))=0,"",MID(IF(AND($C55&lt;&gt;"",$C55=TODAY())," · oggi in centro","")&amp;IF(AND($C55&lt;&gt;"",$C55&gt;=TODAY(),N($D55)+1&gt;=IMPOSTAZIONI!$C$5)," · ultima del ciclo, proponi il mantenimento","")&amp;IF(AND($C55&lt;&gt;"",$C55&gt;=TODAY(),$I55&lt;&gt;"",$C55-$I55&lt;IMPOSTAZIONI!$C$6)," · rientro anticipato, meno di "&amp;IMPOSTAZIONI!$C$6&amp;" giorni","")&amp;IF(AND($C55&lt;&gt;"",$C55&gt;=TODAY(),$I55&lt;&gt;"",$C55-$I55&gt;IMPOSTAZIONI!$C$7)," · rientro oltre "&amp;IMPOSTAZIONI!$C$7&amp;" giorni",""),4,300)))</f>
        <v/>
      </c>
      <c r="G55" s="16" t="n"/>
      <c r="H55" s="11" t="n"/>
      <c r="I55" s="13" t="n"/>
      <c r="J55" s="17">
        <f>IF($I55="","",TODAY()-$I55)</f>
        <v/>
      </c>
      <c r="K55" s="17">
        <f>IF($C55="","",$C55-TODAY())</f>
        <v/>
      </c>
      <c r="L55" s="15">
        <f>IF($A55="","",N($D55)&amp;"/"&amp;IMPOSTAZIONI!$C$5)</f>
        <v/>
      </c>
      <c r="M55" s="15">
        <f>IF($S55="","",IF($S55="RECUPERA CON INCENTIVO",INCENTIVI!$C$7,IF($S55="RICHIAMO MANTENIMENTO",INCENTIVI!$C$6,IF(OR($S55="FUORI FINESTRA",$S55="ULTIMA SEDUTA"),INCENTIVI!$C$5,""))))</f>
        <v/>
      </c>
      <c r="N55" s="18" t="n"/>
      <c r="O55" s="19">
        <f>IF($A55="","",N($D55)*N($N55))</f>
        <v/>
      </c>
      <c r="P55" s="19">
        <f>IF($A55="","",MAX(0,(IMPOSTAZIONI!$C$5-N($D55))*N($N55)))</f>
        <v/>
      </c>
      <c r="Q55" s="13" t="n"/>
      <c r="R55" s="11" t="n"/>
      <c r="S55" s="15">
        <f>IF($A55="","",IF(AND($C55&lt;&gt;"",$C55&lt;TODAY(),OR($I55="",$I55&lt;$C55)),"APPUNTAMENTO SALTATO",IF(AND($C55&lt;&gt;"",$C55-TODAY()=1),"CONFERMA DOMANI",IF(AND($C55&lt;&gt;"",$C55-TODAY()=IMPOSTAZIONI!$C$8),"CHIAMA PER CONFERMA",IF(AND($C55&lt;&gt;"",$C55&gt;=TODAY()),"",IF($E55="Sospesa","",IF($E55="Persa","RECUPERA CON INCENTIVO",IF(AND($I55&lt;&gt;"",TODAY()&gt;=EDATE($I55,IMPOSTAZIONI!$C$10)),"RECUPERA CON INCENTIVO",IF($E55="Mantenimento",IF(AND($I55&lt;&gt;"",TODAY()-$I55&gt;=IMPOSTAZIONI!$C$9),"RICHIAMO MANTENIMENTO",""),IF($E55="In ciclo",IF(N($D55)&gt;=IMPOSTAZIONI!$C$5,"ULTIMA SEDUTA",IF(AND($I55&lt;&gt;"",TODAY()-$I55&gt;IMPOSTAZIONI!$C$7),"FUORI FINESTRA","PRENDI APPUNTAMENTO")),IF($E55="Da contattare","PRENDI APPUNTAMENTO","")))))))))))</f>
        <v/>
      </c>
      <c r="T55" s="17">
        <f>IF($S55="","",IFERROR(MATCH($S55,IMPOSTAZIONI!$F$5:$F$12,0),9)*100000000+(9999-MIN(9999,ROUND(N($O55)/100,0)))*10000+ROW())</f>
        <v/>
      </c>
    </row>
    <row r="56">
      <c r="A56" s="11" t="n"/>
      <c r="B56" s="12">
        <f>IF($S56="","",IFERROR(MATCH($S56,IMPOSTAZIONI!$F$5:$F$12,0),9)&amp;" · "&amp;$S56)</f>
        <v/>
      </c>
      <c r="C56" s="13" t="n"/>
      <c r="D56" s="14" t="n"/>
      <c r="E56" s="11" t="n"/>
      <c r="F56" s="15">
        <f>IF($A56="","",IF(LEN(IF(AND($C56&lt;&gt;"",$C56=TODAY())," · oggi in centro","")&amp;IF(AND($C56&lt;&gt;"",$C56&gt;=TODAY(),N($D56)+1&gt;=IMPOSTAZIONI!$C$5)," · ultima del ciclo, proponi il mantenimento","")&amp;IF(AND($C56&lt;&gt;"",$C56&gt;=TODAY(),$I56&lt;&gt;"",$C56-$I56&lt;IMPOSTAZIONI!$C$6)," · rientro anticipato, meno di "&amp;IMPOSTAZIONI!$C$6&amp;" giorni","")&amp;IF(AND($C56&lt;&gt;"",$C56&gt;=TODAY(),$I56&lt;&gt;"",$C56-$I56&gt;IMPOSTAZIONI!$C$7)," · rientro oltre "&amp;IMPOSTAZIONI!$C$7&amp;" giorni",""))=0,"",MID(IF(AND($C56&lt;&gt;"",$C56=TODAY())," · oggi in centro","")&amp;IF(AND($C56&lt;&gt;"",$C56&gt;=TODAY(),N($D56)+1&gt;=IMPOSTAZIONI!$C$5)," · ultima del ciclo, proponi il mantenimento","")&amp;IF(AND($C56&lt;&gt;"",$C56&gt;=TODAY(),$I56&lt;&gt;"",$C56-$I56&lt;IMPOSTAZIONI!$C$6)," · rientro anticipato, meno di "&amp;IMPOSTAZIONI!$C$6&amp;" giorni","")&amp;IF(AND($C56&lt;&gt;"",$C56&gt;=TODAY(),$I56&lt;&gt;"",$C56-$I56&gt;IMPOSTAZIONI!$C$7)," · rientro oltre "&amp;IMPOSTAZIONI!$C$7&amp;" giorni",""),4,300)))</f>
        <v/>
      </c>
      <c r="G56" s="16" t="n"/>
      <c r="H56" s="11" t="n"/>
      <c r="I56" s="13" t="n"/>
      <c r="J56" s="17">
        <f>IF($I56="","",TODAY()-$I56)</f>
        <v/>
      </c>
      <c r="K56" s="17">
        <f>IF($C56="","",$C56-TODAY())</f>
        <v/>
      </c>
      <c r="L56" s="15">
        <f>IF($A56="","",N($D56)&amp;"/"&amp;IMPOSTAZIONI!$C$5)</f>
        <v/>
      </c>
      <c r="M56" s="15">
        <f>IF($S56="","",IF($S56="RECUPERA CON INCENTIVO",INCENTIVI!$C$7,IF($S56="RICHIAMO MANTENIMENTO",INCENTIVI!$C$6,IF(OR($S56="FUORI FINESTRA",$S56="ULTIMA SEDUTA"),INCENTIVI!$C$5,""))))</f>
        <v/>
      </c>
      <c r="N56" s="18" t="n"/>
      <c r="O56" s="19">
        <f>IF($A56="","",N($D56)*N($N56))</f>
        <v/>
      </c>
      <c r="P56" s="19">
        <f>IF($A56="","",MAX(0,(IMPOSTAZIONI!$C$5-N($D56))*N($N56)))</f>
        <v/>
      </c>
      <c r="Q56" s="13" t="n"/>
      <c r="R56" s="11" t="n"/>
      <c r="S56" s="15">
        <f>IF($A56="","",IF(AND($C56&lt;&gt;"",$C56&lt;TODAY(),OR($I56="",$I56&lt;$C56)),"APPUNTAMENTO SALTATO",IF(AND($C56&lt;&gt;"",$C56-TODAY()=1),"CONFERMA DOMANI",IF(AND($C56&lt;&gt;"",$C56-TODAY()=IMPOSTAZIONI!$C$8),"CHIAMA PER CONFERMA",IF(AND($C56&lt;&gt;"",$C56&gt;=TODAY()),"",IF($E56="Sospesa","",IF($E56="Persa","RECUPERA CON INCENTIVO",IF(AND($I56&lt;&gt;"",TODAY()&gt;=EDATE($I56,IMPOSTAZIONI!$C$10)),"RECUPERA CON INCENTIVO",IF($E56="Mantenimento",IF(AND($I56&lt;&gt;"",TODAY()-$I56&gt;=IMPOSTAZIONI!$C$9),"RICHIAMO MANTENIMENTO",""),IF($E56="In ciclo",IF(N($D56)&gt;=IMPOSTAZIONI!$C$5,"ULTIMA SEDUTA",IF(AND($I56&lt;&gt;"",TODAY()-$I56&gt;IMPOSTAZIONI!$C$7),"FUORI FINESTRA","PRENDI APPUNTAMENTO")),IF($E56="Da contattare","PRENDI APPUNTAMENTO","")))))))))))</f>
        <v/>
      </c>
      <c r="T56" s="17">
        <f>IF($S56="","",IFERROR(MATCH($S56,IMPOSTAZIONI!$F$5:$F$12,0),9)*100000000+(9999-MIN(9999,ROUND(N($O56)/100,0)))*10000+ROW())</f>
        <v/>
      </c>
    </row>
    <row r="57">
      <c r="A57" s="11" t="n"/>
      <c r="B57" s="12">
        <f>IF($S57="","",IFERROR(MATCH($S57,IMPOSTAZIONI!$F$5:$F$12,0),9)&amp;" · "&amp;$S57)</f>
        <v/>
      </c>
      <c r="C57" s="13" t="n"/>
      <c r="D57" s="14" t="n"/>
      <c r="E57" s="11" t="n"/>
      <c r="F57" s="15">
        <f>IF($A57="","",IF(LEN(IF(AND($C57&lt;&gt;"",$C57=TODAY())," · oggi in centro","")&amp;IF(AND($C57&lt;&gt;"",$C57&gt;=TODAY(),N($D57)+1&gt;=IMPOSTAZIONI!$C$5)," · ultima del ciclo, proponi il mantenimento","")&amp;IF(AND($C57&lt;&gt;"",$C57&gt;=TODAY(),$I57&lt;&gt;"",$C57-$I57&lt;IMPOSTAZIONI!$C$6)," · rientro anticipato, meno di "&amp;IMPOSTAZIONI!$C$6&amp;" giorni","")&amp;IF(AND($C57&lt;&gt;"",$C57&gt;=TODAY(),$I57&lt;&gt;"",$C57-$I57&gt;IMPOSTAZIONI!$C$7)," · rientro oltre "&amp;IMPOSTAZIONI!$C$7&amp;" giorni",""))=0,"",MID(IF(AND($C57&lt;&gt;"",$C57=TODAY())," · oggi in centro","")&amp;IF(AND($C57&lt;&gt;"",$C57&gt;=TODAY(),N($D57)+1&gt;=IMPOSTAZIONI!$C$5)," · ultima del ciclo, proponi il mantenimento","")&amp;IF(AND($C57&lt;&gt;"",$C57&gt;=TODAY(),$I57&lt;&gt;"",$C57-$I57&lt;IMPOSTAZIONI!$C$6)," · rientro anticipato, meno di "&amp;IMPOSTAZIONI!$C$6&amp;" giorni","")&amp;IF(AND($C57&lt;&gt;"",$C57&gt;=TODAY(),$I57&lt;&gt;"",$C57-$I57&gt;IMPOSTAZIONI!$C$7)," · rientro oltre "&amp;IMPOSTAZIONI!$C$7&amp;" giorni",""),4,300)))</f>
        <v/>
      </c>
      <c r="G57" s="16" t="n"/>
      <c r="H57" s="11" t="n"/>
      <c r="I57" s="13" t="n"/>
      <c r="J57" s="17">
        <f>IF($I57="","",TODAY()-$I57)</f>
        <v/>
      </c>
      <c r="K57" s="17">
        <f>IF($C57="","",$C57-TODAY())</f>
        <v/>
      </c>
      <c r="L57" s="15">
        <f>IF($A57="","",N($D57)&amp;"/"&amp;IMPOSTAZIONI!$C$5)</f>
        <v/>
      </c>
      <c r="M57" s="15">
        <f>IF($S57="","",IF($S57="RECUPERA CON INCENTIVO",INCENTIVI!$C$7,IF($S57="RICHIAMO MANTENIMENTO",INCENTIVI!$C$6,IF(OR($S57="FUORI FINESTRA",$S57="ULTIMA SEDUTA"),INCENTIVI!$C$5,""))))</f>
        <v/>
      </c>
      <c r="N57" s="18" t="n"/>
      <c r="O57" s="19">
        <f>IF($A57="","",N($D57)*N($N57))</f>
        <v/>
      </c>
      <c r="P57" s="19">
        <f>IF($A57="","",MAX(0,(IMPOSTAZIONI!$C$5-N($D57))*N($N57)))</f>
        <v/>
      </c>
      <c r="Q57" s="13" t="n"/>
      <c r="R57" s="11" t="n"/>
      <c r="S57" s="15">
        <f>IF($A57="","",IF(AND($C57&lt;&gt;"",$C57&lt;TODAY(),OR($I57="",$I57&lt;$C57)),"APPUNTAMENTO SALTATO",IF(AND($C57&lt;&gt;"",$C57-TODAY()=1),"CONFERMA DOMANI",IF(AND($C57&lt;&gt;"",$C57-TODAY()=IMPOSTAZIONI!$C$8),"CHIAMA PER CONFERMA",IF(AND($C57&lt;&gt;"",$C57&gt;=TODAY()),"",IF($E57="Sospesa","",IF($E57="Persa","RECUPERA CON INCENTIVO",IF(AND($I57&lt;&gt;"",TODAY()&gt;=EDATE($I57,IMPOSTAZIONI!$C$10)),"RECUPERA CON INCENTIVO",IF($E57="Mantenimento",IF(AND($I57&lt;&gt;"",TODAY()-$I57&gt;=IMPOSTAZIONI!$C$9),"RICHIAMO MANTENIMENTO",""),IF($E57="In ciclo",IF(N($D57)&gt;=IMPOSTAZIONI!$C$5,"ULTIMA SEDUTA",IF(AND($I57&lt;&gt;"",TODAY()-$I57&gt;IMPOSTAZIONI!$C$7),"FUORI FINESTRA","PRENDI APPUNTAMENTO")),IF($E57="Da contattare","PRENDI APPUNTAMENTO","")))))))))))</f>
        <v/>
      </c>
      <c r="T57" s="17">
        <f>IF($S57="","",IFERROR(MATCH($S57,IMPOSTAZIONI!$F$5:$F$12,0),9)*100000000+(9999-MIN(9999,ROUND(N($O57)/100,0)))*10000+ROW())</f>
        <v/>
      </c>
    </row>
    <row r="58">
      <c r="A58" s="11" t="n"/>
      <c r="B58" s="12">
        <f>IF($S58="","",IFERROR(MATCH($S58,IMPOSTAZIONI!$F$5:$F$12,0),9)&amp;" · "&amp;$S58)</f>
        <v/>
      </c>
      <c r="C58" s="13" t="n"/>
      <c r="D58" s="14" t="n"/>
      <c r="E58" s="11" t="n"/>
      <c r="F58" s="15">
        <f>IF($A58="","",IF(LEN(IF(AND($C58&lt;&gt;"",$C58=TODAY())," · oggi in centro","")&amp;IF(AND($C58&lt;&gt;"",$C58&gt;=TODAY(),N($D58)+1&gt;=IMPOSTAZIONI!$C$5)," · ultima del ciclo, proponi il mantenimento","")&amp;IF(AND($C58&lt;&gt;"",$C58&gt;=TODAY(),$I58&lt;&gt;"",$C58-$I58&lt;IMPOSTAZIONI!$C$6)," · rientro anticipato, meno di "&amp;IMPOSTAZIONI!$C$6&amp;" giorni","")&amp;IF(AND($C58&lt;&gt;"",$C58&gt;=TODAY(),$I58&lt;&gt;"",$C58-$I58&gt;IMPOSTAZIONI!$C$7)," · rientro oltre "&amp;IMPOSTAZIONI!$C$7&amp;" giorni",""))=0,"",MID(IF(AND($C58&lt;&gt;"",$C58=TODAY())," · oggi in centro","")&amp;IF(AND($C58&lt;&gt;"",$C58&gt;=TODAY(),N($D58)+1&gt;=IMPOSTAZIONI!$C$5)," · ultima del ciclo, proponi il mantenimento","")&amp;IF(AND($C58&lt;&gt;"",$C58&gt;=TODAY(),$I58&lt;&gt;"",$C58-$I58&lt;IMPOSTAZIONI!$C$6)," · rientro anticipato, meno di "&amp;IMPOSTAZIONI!$C$6&amp;" giorni","")&amp;IF(AND($C58&lt;&gt;"",$C58&gt;=TODAY(),$I58&lt;&gt;"",$C58-$I58&gt;IMPOSTAZIONI!$C$7)," · rientro oltre "&amp;IMPOSTAZIONI!$C$7&amp;" giorni",""),4,300)))</f>
        <v/>
      </c>
      <c r="G58" s="16" t="n"/>
      <c r="H58" s="11" t="n"/>
      <c r="I58" s="13" t="n"/>
      <c r="J58" s="17">
        <f>IF($I58="","",TODAY()-$I58)</f>
        <v/>
      </c>
      <c r="K58" s="17">
        <f>IF($C58="","",$C58-TODAY())</f>
        <v/>
      </c>
      <c r="L58" s="15">
        <f>IF($A58="","",N($D58)&amp;"/"&amp;IMPOSTAZIONI!$C$5)</f>
        <v/>
      </c>
      <c r="M58" s="15">
        <f>IF($S58="","",IF($S58="RECUPERA CON INCENTIVO",INCENTIVI!$C$7,IF($S58="RICHIAMO MANTENIMENTO",INCENTIVI!$C$6,IF(OR($S58="FUORI FINESTRA",$S58="ULTIMA SEDUTA"),INCENTIVI!$C$5,""))))</f>
        <v/>
      </c>
      <c r="N58" s="18" t="n"/>
      <c r="O58" s="19">
        <f>IF($A58="","",N($D58)*N($N58))</f>
        <v/>
      </c>
      <c r="P58" s="19">
        <f>IF($A58="","",MAX(0,(IMPOSTAZIONI!$C$5-N($D58))*N($N58)))</f>
        <v/>
      </c>
      <c r="Q58" s="13" t="n"/>
      <c r="R58" s="11" t="n"/>
      <c r="S58" s="15">
        <f>IF($A58="","",IF(AND($C58&lt;&gt;"",$C58&lt;TODAY(),OR($I58="",$I58&lt;$C58)),"APPUNTAMENTO SALTATO",IF(AND($C58&lt;&gt;"",$C58-TODAY()=1),"CONFERMA DOMANI",IF(AND($C58&lt;&gt;"",$C58-TODAY()=IMPOSTAZIONI!$C$8),"CHIAMA PER CONFERMA",IF(AND($C58&lt;&gt;"",$C58&gt;=TODAY()),"",IF($E58="Sospesa","",IF($E58="Persa","RECUPERA CON INCENTIVO",IF(AND($I58&lt;&gt;"",TODAY()&gt;=EDATE($I58,IMPOSTAZIONI!$C$10)),"RECUPERA CON INCENTIVO",IF($E58="Mantenimento",IF(AND($I58&lt;&gt;"",TODAY()-$I58&gt;=IMPOSTAZIONI!$C$9),"RICHIAMO MANTENIMENTO",""),IF($E58="In ciclo",IF(N($D58)&gt;=IMPOSTAZIONI!$C$5,"ULTIMA SEDUTA",IF(AND($I58&lt;&gt;"",TODAY()-$I58&gt;IMPOSTAZIONI!$C$7),"FUORI FINESTRA","PRENDI APPUNTAMENTO")),IF($E58="Da contattare","PRENDI APPUNTAMENTO","")))))))))))</f>
        <v/>
      </c>
      <c r="T58" s="17">
        <f>IF($S58="","",IFERROR(MATCH($S58,IMPOSTAZIONI!$F$5:$F$12,0),9)*100000000+(9999-MIN(9999,ROUND(N($O58)/100,0)))*10000+ROW())</f>
        <v/>
      </c>
    </row>
    <row r="59">
      <c r="A59" s="11" t="n"/>
      <c r="B59" s="12">
        <f>IF($S59="","",IFERROR(MATCH($S59,IMPOSTAZIONI!$F$5:$F$12,0),9)&amp;" · "&amp;$S59)</f>
        <v/>
      </c>
      <c r="C59" s="13" t="n"/>
      <c r="D59" s="14" t="n"/>
      <c r="E59" s="11" t="n"/>
      <c r="F59" s="15">
        <f>IF($A59="","",IF(LEN(IF(AND($C59&lt;&gt;"",$C59=TODAY())," · oggi in centro","")&amp;IF(AND($C59&lt;&gt;"",$C59&gt;=TODAY(),N($D59)+1&gt;=IMPOSTAZIONI!$C$5)," · ultima del ciclo, proponi il mantenimento","")&amp;IF(AND($C59&lt;&gt;"",$C59&gt;=TODAY(),$I59&lt;&gt;"",$C59-$I59&lt;IMPOSTAZIONI!$C$6)," · rientro anticipato, meno di "&amp;IMPOSTAZIONI!$C$6&amp;" giorni","")&amp;IF(AND($C59&lt;&gt;"",$C59&gt;=TODAY(),$I59&lt;&gt;"",$C59-$I59&gt;IMPOSTAZIONI!$C$7)," · rientro oltre "&amp;IMPOSTAZIONI!$C$7&amp;" giorni",""))=0,"",MID(IF(AND($C59&lt;&gt;"",$C59=TODAY())," · oggi in centro","")&amp;IF(AND($C59&lt;&gt;"",$C59&gt;=TODAY(),N($D59)+1&gt;=IMPOSTAZIONI!$C$5)," · ultima del ciclo, proponi il mantenimento","")&amp;IF(AND($C59&lt;&gt;"",$C59&gt;=TODAY(),$I59&lt;&gt;"",$C59-$I59&lt;IMPOSTAZIONI!$C$6)," · rientro anticipato, meno di "&amp;IMPOSTAZIONI!$C$6&amp;" giorni","")&amp;IF(AND($C59&lt;&gt;"",$C59&gt;=TODAY(),$I59&lt;&gt;"",$C59-$I59&gt;IMPOSTAZIONI!$C$7)," · rientro oltre "&amp;IMPOSTAZIONI!$C$7&amp;" giorni",""),4,300)))</f>
        <v/>
      </c>
      <c r="G59" s="16" t="n"/>
      <c r="H59" s="11" t="n"/>
      <c r="I59" s="13" t="n"/>
      <c r="J59" s="17">
        <f>IF($I59="","",TODAY()-$I59)</f>
        <v/>
      </c>
      <c r="K59" s="17">
        <f>IF($C59="","",$C59-TODAY())</f>
        <v/>
      </c>
      <c r="L59" s="15">
        <f>IF($A59="","",N($D59)&amp;"/"&amp;IMPOSTAZIONI!$C$5)</f>
        <v/>
      </c>
      <c r="M59" s="15">
        <f>IF($S59="","",IF($S59="RECUPERA CON INCENTIVO",INCENTIVI!$C$7,IF($S59="RICHIAMO MANTENIMENTO",INCENTIVI!$C$6,IF(OR($S59="FUORI FINESTRA",$S59="ULTIMA SEDUTA"),INCENTIVI!$C$5,""))))</f>
        <v/>
      </c>
      <c r="N59" s="18" t="n"/>
      <c r="O59" s="19">
        <f>IF($A59="","",N($D59)*N($N59))</f>
        <v/>
      </c>
      <c r="P59" s="19">
        <f>IF($A59="","",MAX(0,(IMPOSTAZIONI!$C$5-N($D59))*N($N59)))</f>
        <v/>
      </c>
      <c r="Q59" s="13" t="n"/>
      <c r="R59" s="11" t="n"/>
      <c r="S59" s="15">
        <f>IF($A59="","",IF(AND($C59&lt;&gt;"",$C59&lt;TODAY(),OR($I59="",$I59&lt;$C59)),"APPUNTAMENTO SALTATO",IF(AND($C59&lt;&gt;"",$C59-TODAY()=1),"CONFERMA DOMANI",IF(AND($C59&lt;&gt;"",$C59-TODAY()=IMPOSTAZIONI!$C$8),"CHIAMA PER CONFERMA",IF(AND($C59&lt;&gt;"",$C59&gt;=TODAY()),"",IF($E59="Sospesa","",IF($E59="Persa","RECUPERA CON INCENTIVO",IF(AND($I59&lt;&gt;"",TODAY()&gt;=EDATE($I59,IMPOSTAZIONI!$C$10)),"RECUPERA CON INCENTIVO",IF($E59="Mantenimento",IF(AND($I59&lt;&gt;"",TODAY()-$I59&gt;=IMPOSTAZIONI!$C$9),"RICHIAMO MANTENIMENTO",""),IF($E59="In ciclo",IF(N($D59)&gt;=IMPOSTAZIONI!$C$5,"ULTIMA SEDUTA",IF(AND($I59&lt;&gt;"",TODAY()-$I59&gt;IMPOSTAZIONI!$C$7),"FUORI FINESTRA","PRENDI APPUNTAMENTO")),IF($E59="Da contattare","PRENDI APPUNTAMENTO","")))))))))))</f>
        <v/>
      </c>
      <c r="T59" s="17">
        <f>IF($S59="","",IFERROR(MATCH($S59,IMPOSTAZIONI!$F$5:$F$12,0),9)*100000000+(9999-MIN(9999,ROUND(N($O59)/100,0)))*10000+ROW())</f>
        <v/>
      </c>
    </row>
    <row r="60">
      <c r="A60" s="11" t="n"/>
      <c r="B60" s="12">
        <f>IF($S60="","",IFERROR(MATCH($S60,IMPOSTAZIONI!$F$5:$F$12,0),9)&amp;" · "&amp;$S60)</f>
        <v/>
      </c>
      <c r="C60" s="13" t="n"/>
      <c r="D60" s="14" t="n"/>
      <c r="E60" s="11" t="n"/>
      <c r="F60" s="15">
        <f>IF($A60="","",IF(LEN(IF(AND($C60&lt;&gt;"",$C60=TODAY())," · oggi in centro","")&amp;IF(AND($C60&lt;&gt;"",$C60&gt;=TODAY(),N($D60)+1&gt;=IMPOSTAZIONI!$C$5)," · ultima del ciclo, proponi il mantenimento","")&amp;IF(AND($C60&lt;&gt;"",$C60&gt;=TODAY(),$I60&lt;&gt;"",$C60-$I60&lt;IMPOSTAZIONI!$C$6)," · rientro anticipato, meno di "&amp;IMPOSTAZIONI!$C$6&amp;" giorni","")&amp;IF(AND($C60&lt;&gt;"",$C60&gt;=TODAY(),$I60&lt;&gt;"",$C60-$I60&gt;IMPOSTAZIONI!$C$7)," · rientro oltre "&amp;IMPOSTAZIONI!$C$7&amp;" giorni",""))=0,"",MID(IF(AND($C60&lt;&gt;"",$C60=TODAY())," · oggi in centro","")&amp;IF(AND($C60&lt;&gt;"",$C60&gt;=TODAY(),N($D60)+1&gt;=IMPOSTAZIONI!$C$5)," · ultima del ciclo, proponi il mantenimento","")&amp;IF(AND($C60&lt;&gt;"",$C60&gt;=TODAY(),$I60&lt;&gt;"",$C60-$I60&lt;IMPOSTAZIONI!$C$6)," · rientro anticipato, meno di "&amp;IMPOSTAZIONI!$C$6&amp;" giorni","")&amp;IF(AND($C60&lt;&gt;"",$C60&gt;=TODAY(),$I60&lt;&gt;"",$C60-$I60&gt;IMPOSTAZIONI!$C$7)," · rientro oltre "&amp;IMPOSTAZIONI!$C$7&amp;" giorni",""),4,300)))</f>
        <v/>
      </c>
      <c r="G60" s="16" t="n"/>
      <c r="H60" s="11" t="n"/>
      <c r="I60" s="13" t="n"/>
      <c r="J60" s="17">
        <f>IF($I60="","",TODAY()-$I60)</f>
        <v/>
      </c>
      <c r="K60" s="17">
        <f>IF($C60="","",$C60-TODAY())</f>
        <v/>
      </c>
      <c r="L60" s="15">
        <f>IF($A60="","",N($D60)&amp;"/"&amp;IMPOSTAZIONI!$C$5)</f>
        <v/>
      </c>
      <c r="M60" s="15">
        <f>IF($S60="","",IF($S60="RECUPERA CON INCENTIVO",INCENTIVI!$C$7,IF($S60="RICHIAMO MANTENIMENTO",INCENTIVI!$C$6,IF(OR($S60="FUORI FINESTRA",$S60="ULTIMA SEDUTA"),INCENTIVI!$C$5,""))))</f>
        <v/>
      </c>
      <c r="N60" s="18" t="n"/>
      <c r="O60" s="19">
        <f>IF($A60="","",N($D60)*N($N60))</f>
        <v/>
      </c>
      <c r="P60" s="19">
        <f>IF($A60="","",MAX(0,(IMPOSTAZIONI!$C$5-N($D60))*N($N60)))</f>
        <v/>
      </c>
      <c r="Q60" s="13" t="n"/>
      <c r="R60" s="11" t="n"/>
      <c r="S60" s="15">
        <f>IF($A60="","",IF(AND($C60&lt;&gt;"",$C60&lt;TODAY(),OR($I60="",$I60&lt;$C60)),"APPUNTAMENTO SALTATO",IF(AND($C60&lt;&gt;"",$C60-TODAY()=1),"CONFERMA DOMANI",IF(AND($C60&lt;&gt;"",$C60-TODAY()=IMPOSTAZIONI!$C$8),"CHIAMA PER CONFERMA",IF(AND($C60&lt;&gt;"",$C60&gt;=TODAY()),"",IF($E60="Sospesa","",IF($E60="Persa","RECUPERA CON INCENTIVO",IF(AND($I60&lt;&gt;"",TODAY()&gt;=EDATE($I60,IMPOSTAZIONI!$C$10)),"RECUPERA CON INCENTIVO",IF($E60="Mantenimento",IF(AND($I60&lt;&gt;"",TODAY()-$I60&gt;=IMPOSTAZIONI!$C$9),"RICHIAMO MANTENIMENTO",""),IF($E60="In ciclo",IF(N($D60)&gt;=IMPOSTAZIONI!$C$5,"ULTIMA SEDUTA",IF(AND($I60&lt;&gt;"",TODAY()-$I60&gt;IMPOSTAZIONI!$C$7),"FUORI FINESTRA","PRENDI APPUNTAMENTO")),IF($E60="Da contattare","PRENDI APPUNTAMENTO","")))))))))))</f>
        <v/>
      </c>
      <c r="T60" s="17">
        <f>IF($S60="","",IFERROR(MATCH($S60,IMPOSTAZIONI!$F$5:$F$12,0),9)*100000000+(9999-MIN(9999,ROUND(N($O60)/100,0)))*10000+ROW())</f>
        <v/>
      </c>
    </row>
    <row r="61">
      <c r="A61" s="11" t="n"/>
      <c r="B61" s="12">
        <f>IF($S61="","",IFERROR(MATCH($S61,IMPOSTAZIONI!$F$5:$F$12,0),9)&amp;" · "&amp;$S61)</f>
        <v/>
      </c>
      <c r="C61" s="13" t="n"/>
      <c r="D61" s="14" t="n"/>
      <c r="E61" s="11" t="n"/>
      <c r="F61" s="15">
        <f>IF($A61="","",IF(LEN(IF(AND($C61&lt;&gt;"",$C61=TODAY())," · oggi in centro","")&amp;IF(AND($C61&lt;&gt;"",$C61&gt;=TODAY(),N($D61)+1&gt;=IMPOSTAZIONI!$C$5)," · ultima del ciclo, proponi il mantenimento","")&amp;IF(AND($C61&lt;&gt;"",$C61&gt;=TODAY(),$I61&lt;&gt;"",$C61-$I61&lt;IMPOSTAZIONI!$C$6)," · rientro anticipato, meno di "&amp;IMPOSTAZIONI!$C$6&amp;" giorni","")&amp;IF(AND($C61&lt;&gt;"",$C61&gt;=TODAY(),$I61&lt;&gt;"",$C61-$I61&gt;IMPOSTAZIONI!$C$7)," · rientro oltre "&amp;IMPOSTAZIONI!$C$7&amp;" giorni",""))=0,"",MID(IF(AND($C61&lt;&gt;"",$C61=TODAY())," · oggi in centro","")&amp;IF(AND($C61&lt;&gt;"",$C61&gt;=TODAY(),N($D61)+1&gt;=IMPOSTAZIONI!$C$5)," · ultima del ciclo, proponi il mantenimento","")&amp;IF(AND($C61&lt;&gt;"",$C61&gt;=TODAY(),$I61&lt;&gt;"",$C61-$I61&lt;IMPOSTAZIONI!$C$6)," · rientro anticipato, meno di "&amp;IMPOSTAZIONI!$C$6&amp;" giorni","")&amp;IF(AND($C61&lt;&gt;"",$C61&gt;=TODAY(),$I61&lt;&gt;"",$C61-$I61&gt;IMPOSTAZIONI!$C$7)," · rientro oltre "&amp;IMPOSTAZIONI!$C$7&amp;" giorni",""),4,300)))</f>
        <v/>
      </c>
      <c r="G61" s="16" t="n"/>
      <c r="H61" s="11" t="n"/>
      <c r="I61" s="13" t="n"/>
      <c r="J61" s="17">
        <f>IF($I61="","",TODAY()-$I61)</f>
        <v/>
      </c>
      <c r="K61" s="17">
        <f>IF($C61="","",$C61-TODAY())</f>
        <v/>
      </c>
      <c r="L61" s="15">
        <f>IF($A61="","",N($D61)&amp;"/"&amp;IMPOSTAZIONI!$C$5)</f>
        <v/>
      </c>
      <c r="M61" s="15">
        <f>IF($S61="","",IF($S61="RECUPERA CON INCENTIVO",INCENTIVI!$C$7,IF($S61="RICHIAMO MANTENIMENTO",INCENTIVI!$C$6,IF(OR($S61="FUORI FINESTRA",$S61="ULTIMA SEDUTA"),INCENTIVI!$C$5,""))))</f>
        <v/>
      </c>
      <c r="N61" s="18" t="n"/>
      <c r="O61" s="19">
        <f>IF($A61="","",N($D61)*N($N61))</f>
        <v/>
      </c>
      <c r="P61" s="19">
        <f>IF($A61="","",MAX(0,(IMPOSTAZIONI!$C$5-N($D61))*N($N61)))</f>
        <v/>
      </c>
      <c r="Q61" s="13" t="n"/>
      <c r="R61" s="11" t="n"/>
      <c r="S61" s="15">
        <f>IF($A61="","",IF(AND($C61&lt;&gt;"",$C61&lt;TODAY(),OR($I61="",$I61&lt;$C61)),"APPUNTAMENTO SALTATO",IF(AND($C61&lt;&gt;"",$C61-TODAY()=1),"CONFERMA DOMANI",IF(AND($C61&lt;&gt;"",$C61-TODAY()=IMPOSTAZIONI!$C$8),"CHIAMA PER CONFERMA",IF(AND($C61&lt;&gt;"",$C61&gt;=TODAY()),"",IF($E61="Sospesa","",IF($E61="Persa","RECUPERA CON INCENTIVO",IF(AND($I61&lt;&gt;"",TODAY()&gt;=EDATE($I61,IMPOSTAZIONI!$C$10)),"RECUPERA CON INCENTIVO",IF($E61="Mantenimento",IF(AND($I61&lt;&gt;"",TODAY()-$I61&gt;=IMPOSTAZIONI!$C$9),"RICHIAMO MANTENIMENTO",""),IF($E61="In ciclo",IF(N($D61)&gt;=IMPOSTAZIONI!$C$5,"ULTIMA SEDUTA",IF(AND($I61&lt;&gt;"",TODAY()-$I61&gt;IMPOSTAZIONI!$C$7),"FUORI FINESTRA","PRENDI APPUNTAMENTO")),IF($E61="Da contattare","PRENDI APPUNTAMENTO","")))))))))))</f>
        <v/>
      </c>
      <c r="T61" s="17">
        <f>IF($S61="","",IFERROR(MATCH($S61,IMPOSTAZIONI!$F$5:$F$12,0),9)*100000000+(9999-MIN(9999,ROUND(N($O61)/100,0)))*10000+ROW())</f>
        <v/>
      </c>
    </row>
    <row r="62">
      <c r="A62" s="11" t="n"/>
      <c r="B62" s="12">
        <f>IF($S62="","",IFERROR(MATCH($S62,IMPOSTAZIONI!$F$5:$F$12,0),9)&amp;" · "&amp;$S62)</f>
        <v/>
      </c>
      <c r="C62" s="13" t="n"/>
      <c r="D62" s="14" t="n"/>
      <c r="E62" s="11" t="n"/>
      <c r="F62" s="15">
        <f>IF($A62="","",IF(LEN(IF(AND($C62&lt;&gt;"",$C62=TODAY())," · oggi in centro","")&amp;IF(AND($C62&lt;&gt;"",$C62&gt;=TODAY(),N($D62)+1&gt;=IMPOSTAZIONI!$C$5)," · ultima del ciclo, proponi il mantenimento","")&amp;IF(AND($C62&lt;&gt;"",$C62&gt;=TODAY(),$I62&lt;&gt;"",$C62-$I62&lt;IMPOSTAZIONI!$C$6)," · rientro anticipato, meno di "&amp;IMPOSTAZIONI!$C$6&amp;" giorni","")&amp;IF(AND($C62&lt;&gt;"",$C62&gt;=TODAY(),$I62&lt;&gt;"",$C62-$I62&gt;IMPOSTAZIONI!$C$7)," · rientro oltre "&amp;IMPOSTAZIONI!$C$7&amp;" giorni",""))=0,"",MID(IF(AND($C62&lt;&gt;"",$C62=TODAY())," · oggi in centro","")&amp;IF(AND($C62&lt;&gt;"",$C62&gt;=TODAY(),N($D62)+1&gt;=IMPOSTAZIONI!$C$5)," · ultima del ciclo, proponi il mantenimento","")&amp;IF(AND($C62&lt;&gt;"",$C62&gt;=TODAY(),$I62&lt;&gt;"",$C62-$I62&lt;IMPOSTAZIONI!$C$6)," · rientro anticipato, meno di "&amp;IMPOSTAZIONI!$C$6&amp;" giorni","")&amp;IF(AND($C62&lt;&gt;"",$C62&gt;=TODAY(),$I62&lt;&gt;"",$C62-$I62&gt;IMPOSTAZIONI!$C$7)," · rientro oltre "&amp;IMPOSTAZIONI!$C$7&amp;" giorni",""),4,300)))</f>
        <v/>
      </c>
      <c r="G62" s="16" t="n"/>
      <c r="H62" s="11" t="n"/>
      <c r="I62" s="13" t="n"/>
      <c r="J62" s="17">
        <f>IF($I62="","",TODAY()-$I62)</f>
        <v/>
      </c>
      <c r="K62" s="17">
        <f>IF($C62="","",$C62-TODAY())</f>
        <v/>
      </c>
      <c r="L62" s="15">
        <f>IF($A62="","",N($D62)&amp;"/"&amp;IMPOSTAZIONI!$C$5)</f>
        <v/>
      </c>
      <c r="M62" s="15">
        <f>IF($S62="","",IF($S62="RECUPERA CON INCENTIVO",INCENTIVI!$C$7,IF($S62="RICHIAMO MANTENIMENTO",INCENTIVI!$C$6,IF(OR($S62="FUORI FINESTRA",$S62="ULTIMA SEDUTA"),INCENTIVI!$C$5,""))))</f>
        <v/>
      </c>
      <c r="N62" s="18" t="n"/>
      <c r="O62" s="19">
        <f>IF($A62="","",N($D62)*N($N62))</f>
        <v/>
      </c>
      <c r="P62" s="19">
        <f>IF($A62="","",MAX(0,(IMPOSTAZIONI!$C$5-N($D62))*N($N62)))</f>
        <v/>
      </c>
      <c r="Q62" s="13" t="n"/>
      <c r="R62" s="11" t="n"/>
      <c r="S62" s="15">
        <f>IF($A62="","",IF(AND($C62&lt;&gt;"",$C62&lt;TODAY(),OR($I62="",$I62&lt;$C62)),"APPUNTAMENTO SALTATO",IF(AND($C62&lt;&gt;"",$C62-TODAY()=1),"CONFERMA DOMANI",IF(AND($C62&lt;&gt;"",$C62-TODAY()=IMPOSTAZIONI!$C$8),"CHIAMA PER CONFERMA",IF(AND($C62&lt;&gt;"",$C62&gt;=TODAY()),"",IF($E62="Sospesa","",IF($E62="Persa","RECUPERA CON INCENTIVO",IF(AND($I62&lt;&gt;"",TODAY()&gt;=EDATE($I62,IMPOSTAZIONI!$C$10)),"RECUPERA CON INCENTIVO",IF($E62="Mantenimento",IF(AND($I62&lt;&gt;"",TODAY()-$I62&gt;=IMPOSTAZIONI!$C$9),"RICHIAMO MANTENIMENTO",""),IF($E62="In ciclo",IF(N($D62)&gt;=IMPOSTAZIONI!$C$5,"ULTIMA SEDUTA",IF(AND($I62&lt;&gt;"",TODAY()-$I62&gt;IMPOSTAZIONI!$C$7),"FUORI FINESTRA","PRENDI APPUNTAMENTO")),IF($E62="Da contattare","PRENDI APPUNTAMENTO","")))))))))))</f>
        <v/>
      </c>
      <c r="T62" s="17">
        <f>IF($S62="","",IFERROR(MATCH($S62,IMPOSTAZIONI!$F$5:$F$12,0),9)*100000000+(9999-MIN(9999,ROUND(N($O62)/100,0)))*10000+ROW())</f>
        <v/>
      </c>
    </row>
    <row r="63">
      <c r="A63" s="11" t="n"/>
      <c r="B63" s="12">
        <f>IF($S63="","",IFERROR(MATCH($S63,IMPOSTAZIONI!$F$5:$F$12,0),9)&amp;" · "&amp;$S63)</f>
        <v/>
      </c>
      <c r="C63" s="13" t="n"/>
      <c r="D63" s="14" t="n"/>
      <c r="E63" s="11" t="n"/>
      <c r="F63" s="15">
        <f>IF($A63="","",IF(LEN(IF(AND($C63&lt;&gt;"",$C63=TODAY())," · oggi in centro","")&amp;IF(AND($C63&lt;&gt;"",$C63&gt;=TODAY(),N($D63)+1&gt;=IMPOSTAZIONI!$C$5)," · ultima del ciclo, proponi il mantenimento","")&amp;IF(AND($C63&lt;&gt;"",$C63&gt;=TODAY(),$I63&lt;&gt;"",$C63-$I63&lt;IMPOSTAZIONI!$C$6)," · rientro anticipato, meno di "&amp;IMPOSTAZIONI!$C$6&amp;" giorni","")&amp;IF(AND($C63&lt;&gt;"",$C63&gt;=TODAY(),$I63&lt;&gt;"",$C63-$I63&gt;IMPOSTAZIONI!$C$7)," · rientro oltre "&amp;IMPOSTAZIONI!$C$7&amp;" giorni",""))=0,"",MID(IF(AND($C63&lt;&gt;"",$C63=TODAY())," · oggi in centro","")&amp;IF(AND($C63&lt;&gt;"",$C63&gt;=TODAY(),N($D63)+1&gt;=IMPOSTAZIONI!$C$5)," · ultima del ciclo, proponi il mantenimento","")&amp;IF(AND($C63&lt;&gt;"",$C63&gt;=TODAY(),$I63&lt;&gt;"",$C63-$I63&lt;IMPOSTAZIONI!$C$6)," · rientro anticipato, meno di "&amp;IMPOSTAZIONI!$C$6&amp;" giorni","")&amp;IF(AND($C63&lt;&gt;"",$C63&gt;=TODAY(),$I63&lt;&gt;"",$C63-$I63&gt;IMPOSTAZIONI!$C$7)," · rientro oltre "&amp;IMPOSTAZIONI!$C$7&amp;" giorni",""),4,300)))</f>
        <v/>
      </c>
      <c r="G63" s="16" t="n"/>
      <c r="H63" s="11" t="n"/>
      <c r="I63" s="13" t="n"/>
      <c r="J63" s="17">
        <f>IF($I63="","",TODAY()-$I63)</f>
        <v/>
      </c>
      <c r="K63" s="17">
        <f>IF($C63="","",$C63-TODAY())</f>
        <v/>
      </c>
      <c r="L63" s="15">
        <f>IF($A63="","",N($D63)&amp;"/"&amp;IMPOSTAZIONI!$C$5)</f>
        <v/>
      </c>
      <c r="M63" s="15">
        <f>IF($S63="","",IF($S63="RECUPERA CON INCENTIVO",INCENTIVI!$C$7,IF($S63="RICHIAMO MANTENIMENTO",INCENTIVI!$C$6,IF(OR($S63="FUORI FINESTRA",$S63="ULTIMA SEDUTA"),INCENTIVI!$C$5,""))))</f>
        <v/>
      </c>
      <c r="N63" s="18" t="n"/>
      <c r="O63" s="19">
        <f>IF($A63="","",N($D63)*N($N63))</f>
        <v/>
      </c>
      <c r="P63" s="19">
        <f>IF($A63="","",MAX(0,(IMPOSTAZIONI!$C$5-N($D63))*N($N63)))</f>
        <v/>
      </c>
      <c r="Q63" s="13" t="n"/>
      <c r="R63" s="11" t="n"/>
      <c r="S63" s="15">
        <f>IF($A63="","",IF(AND($C63&lt;&gt;"",$C63&lt;TODAY(),OR($I63="",$I63&lt;$C63)),"APPUNTAMENTO SALTATO",IF(AND($C63&lt;&gt;"",$C63-TODAY()=1),"CONFERMA DOMANI",IF(AND($C63&lt;&gt;"",$C63-TODAY()=IMPOSTAZIONI!$C$8),"CHIAMA PER CONFERMA",IF(AND($C63&lt;&gt;"",$C63&gt;=TODAY()),"",IF($E63="Sospesa","",IF($E63="Persa","RECUPERA CON INCENTIVO",IF(AND($I63&lt;&gt;"",TODAY()&gt;=EDATE($I63,IMPOSTAZIONI!$C$10)),"RECUPERA CON INCENTIVO",IF($E63="Mantenimento",IF(AND($I63&lt;&gt;"",TODAY()-$I63&gt;=IMPOSTAZIONI!$C$9),"RICHIAMO MANTENIMENTO",""),IF($E63="In ciclo",IF(N($D63)&gt;=IMPOSTAZIONI!$C$5,"ULTIMA SEDUTA",IF(AND($I63&lt;&gt;"",TODAY()-$I63&gt;IMPOSTAZIONI!$C$7),"FUORI FINESTRA","PRENDI APPUNTAMENTO")),IF($E63="Da contattare","PRENDI APPUNTAMENTO","")))))))))))</f>
        <v/>
      </c>
      <c r="T63" s="17">
        <f>IF($S63="","",IFERROR(MATCH($S63,IMPOSTAZIONI!$F$5:$F$12,0),9)*100000000+(9999-MIN(9999,ROUND(N($O63)/100,0)))*10000+ROW())</f>
        <v/>
      </c>
    </row>
    <row r="64">
      <c r="A64" s="11" t="n"/>
      <c r="B64" s="12">
        <f>IF($S64="","",IFERROR(MATCH($S64,IMPOSTAZIONI!$F$5:$F$12,0),9)&amp;" · "&amp;$S64)</f>
        <v/>
      </c>
      <c r="C64" s="13" t="n"/>
      <c r="D64" s="14" t="n"/>
      <c r="E64" s="11" t="n"/>
      <c r="F64" s="15">
        <f>IF($A64="","",IF(LEN(IF(AND($C64&lt;&gt;"",$C64=TODAY())," · oggi in centro","")&amp;IF(AND($C64&lt;&gt;"",$C64&gt;=TODAY(),N($D64)+1&gt;=IMPOSTAZIONI!$C$5)," · ultima del ciclo, proponi il mantenimento","")&amp;IF(AND($C64&lt;&gt;"",$C64&gt;=TODAY(),$I64&lt;&gt;"",$C64-$I64&lt;IMPOSTAZIONI!$C$6)," · rientro anticipato, meno di "&amp;IMPOSTAZIONI!$C$6&amp;" giorni","")&amp;IF(AND($C64&lt;&gt;"",$C64&gt;=TODAY(),$I64&lt;&gt;"",$C64-$I64&gt;IMPOSTAZIONI!$C$7)," · rientro oltre "&amp;IMPOSTAZIONI!$C$7&amp;" giorni",""))=0,"",MID(IF(AND($C64&lt;&gt;"",$C64=TODAY())," · oggi in centro","")&amp;IF(AND($C64&lt;&gt;"",$C64&gt;=TODAY(),N($D64)+1&gt;=IMPOSTAZIONI!$C$5)," · ultima del ciclo, proponi il mantenimento","")&amp;IF(AND($C64&lt;&gt;"",$C64&gt;=TODAY(),$I64&lt;&gt;"",$C64-$I64&lt;IMPOSTAZIONI!$C$6)," · rientro anticipato, meno di "&amp;IMPOSTAZIONI!$C$6&amp;" giorni","")&amp;IF(AND($C64&lt;&gt;"",$C64&gt;=TODAY(),$I64&lt;&gt;"",$C64-$I64&gt;IMPOSTAZIONI!$C$7)," · rientro oltre "&amp;IMPOSTAZIONI!$C$7&amp;" giorni",""),4,300)))</f>
        <v/>
      </c>
      <c r="G64" s="16" t="n"/>
      <c r="H64" s="11" t="n"/>
      <c r="I64" s="13" t="n"/>
      <c r="J64" s="17">
        <f>IF($I64="","",TODAY()-$I64)</f>
        <v/>
      </c>
      <c r="K64" s="17">
        <f>IF($C64="","",$C64-TODAY())</f>
        <v/>
      </c>
      <c r="L64" s="15">
        <f>IF($A64="","",N($D64)&amp;"/"&amp;IMPOSTAZIONI!$C$5)</f>
        <v/>
      </c>
      <c r="M64" s="15">
        <f>IF($S64="","",IF($S64="RECUPERA CON INCENTIVO",INCENTIVI!$C$7,IF($S64="RICHIAMO MANTENIMENTO",INCENTIVI!$C$6,IF(OR($S64="FUORI FINESTRA",$S64="ULTIMA SEDUTA"),INCENTIVI!$C$5,""))))</f>
        <v/>
      </c>
      <c r="N64" s="18" t="n"/>
      <c r="O64" s="19">
        <f>IF($A64="","",N($D64)*N($N64))</f>
        <v/>
      </c>
      <c r="P64" s="19">
        <f>IF($A64="","",MAX(0,(IMPOSTAZIONI!$C$5-N($D64))*N($N64)))</f>
        <v/>
      </c>
      <c r="Q64" s="13" t="n"/>
      <c r="R64" s="11" t="n"/>
      <c r="S64" s="15">
        <f>IF($A64="","",IF(AND($C64&lt;&gt;"",$C64&lt;TODAY(),OR($I64="",$I64&lt;$C64)),"APPUNTAMENTO SALTATO",IF(AND($C64&lt;&gt;"",$C64-TODAY()=1),"CONFERMA DOMANI",IF(AND($C64&lt;&gt;"",$C64-TODAY()=IMPOSTAZIONI!$C$8),"CHIAMA PER CONFERMA",IF(AND($C64&lt;&gt;"",$C64&gt;=TODAY()),"",IF($E64="Sospesa","",IF($E64="Persa","RECUPERA CON INCENTIVO",IF(AND($I64&lt;&gt;"",TODAY()&gt;=EDATE($I64,IMPOSTAZIONI!$C$10)),"RECUPERA CON INCENTIVO",IF($E64="Mantenimento",IF(AND($I64&lt;&gt;"",TODAY()-$I64&gt;=IMPOSTAZIONI!$C$9),"RICHIAMO MANTENIMENTO",""),IF($E64="In ciclo",IF(N($D64)&gt;=IMPOSTAZIONI!$C$5,"ULTIMA SEDUTA",IF(AND($I64&lt;&gt;"",TODAY()-$I64&gt;IMPOSTAZIONI!$C$7),"FUORI FINESTRA","PRENDI APPUNTAMENTO")),IF($E64="Da contattare","PRENDI APPUNTAMENTO","")))))))))))</f>
        <v/>
      </c>
      <c r="T64" s="17">
        <f>IF($S64="","",IFERROR(MATCH($S64,IMPOSTAZIONI!$F$5:$F$12,0),9)*100000000+(9999-MIN(9999,ROUND(N($O64)/100,0)))*10000+ROW())</f>
        <v/>
      </c>
    </row>
    <row r="65">
      <c r="A65" s="11" t="n"/>
      <c r="B65" s="12">
        <f>IF($S65="","",IFERROR(MATCH($S65,IMPOSTAZIONI!$F$5:$F$12,0),9)&amp;" · "&amp;$S65)</f>
        <v/>
      </c>
      <c r="C65" s="13" t="n"/>
      <c r="D65" s="14" t="n"/>
      <c r="E65" s="11" t="n"/>
      <c r="F65" s="15">
        <f>IF($A65="","",IF(LEN(IF(AND($C65&lt;&gt;"",$C65=TODAY())," · oggi in centro","")&amp;IF(AND($C65&lt;&gt;"",$C65&gt;=TODAY(),N($D65)+1&gt;=IMPOSTAZIONI!$C$5)," · ultima del ciclo, proponi il mantenimento","")&amp;IF(AND($C65&lt;&gt;"",$C65&gt;=TODAY(),$I65&lt;&gt;"",$C65-$I65&lt;IMPOSTAZIONI!$C$6)," · rientro anticipato, meno di "&amp;IMPOSTAZIONI!$C$6&amp;" giorni","")&amp;IF(AND($C65&lt;&gt;"",$C65&gt;=TODAY(),$I65&lt;&gt;"",$C65-$I65&gt;IMPOSTAZIONI!$C$7)," · rientro oltre "&amp;IMPOSTAZIONI!$C$7&amp;" giorni",""))=0,"",MID(IF(AND($C65&lt;&gt;"",$C65=TODAY())," · oggi in centro","")&amp;IF(AND($C65&lt;&gt;"",$C65&gt;=TODAY(),N($D65)+1&gt;=IMPOSTAZIONI!$C$5)," · ultima del ciclo, proponi il mantenimento","")&amp;IF(AND($C65&lt;&gt;"",$C65&gt;=TODAY(),$I65&lt;&gt;"",$C65-$I65&lt;IMPOSTAZIONI!$C$6)," · rientro anticipato, meno di "&amp;IMPOSTAZIONI!$C$6&amp;" giorni","")&amp;IF(AND($C65&lt;&gt;"",$C65&gt;=TODAY(),$I65&lt;&gt;"",$C65-$I65&gt;IMPOSTAZIONI!$C$7)," · rientro oltre "&amp;IMPOSTAZIONI!$C$7&amp;" giorni",""),4,300)))</f>
        <v/>
      </c>
      <c r="G65" s="16" t="n"/>
      <c r="H65" s="11" t="n"/>
      <c r="I65" s="13" t="n"/>
      <c r="J65" s="17">
        <f>IF($I65="","",TODAY()-$I65)</f>
        <v/>
      </c>
      <c r="K65" s="17">
        <f>IF($C65="","",$C65-TODAY())</f>
        <v/>
      </c>
      <c r="L65" s="15">
        <f>IF($A65="","",N($D65)&amp;"/"&amp;IMPOSTAZIONI!$C$5)</f>
        <v/>
      </c>
      <c r="M65" s="15">
        <f>IF($S65="","",IF($S65="RECUPERA CON INCENTIVO",INCENTIVI!$C$7,IF($S65="RICHIAMO MANTENIMENTO",INCENTIVI!$C$6,IF(OR($S65="FUORI FINESTRA",$S65="ULTIMA SEDUTA"),INCENTIVI!$C$5,""))))</f>
        <v/>
      </c>
      <c r="N65" s="18" t="n"/>
      <c r="O65" s="19">
        <f>IF($A65="","",N($D65)*N($N65))</f>
        <v/>
      </c>
      <c r="P65" s="19">
        <f>IF($A65="","",MAX(0,(IMPOSTAZIONI!$C$5-N($D65))*N($N65)))</f>
        <v/>
      </c>
      <c r="Q65" s="13" t="n"/>
      <c r="R65" s="11" t="n"/>
      <c r="S65" s="15">
        <f>IF($A65="","",IF(AND($C65&lt;&gt;"",$C65&lt;TODAY(),OR($I65="",$I65&lt;$C65)),"APPUNTAMENTO SALTATO",IF(AND($C65&lt;&gt;"",$C65-TODAY()=1),"CONFERMA DOMANI",IF(AND($C65&lt;&gt;"",$C65-TODAY()=IMPOSTAZIONI!$C$8),"CHIAMA PER CONFERMA",IF(AND($C65&lt;&gt;"",$C65&gt;=TODAY()),"",IF($E65="Sospesa","",IF($E65="Persa","RECUPERA CON INCENTIVO",IF(AND($I65&lt;&gt;"",TODAY()&gt;=EDATE($I65,IMPOSTAZIONI!$C$10)),"RECUPERA CON INCENTIVO",IF($E65="Mantenimento",IF(AND($I65&lt;&gt;"",TODAY()-$I65&gt;=IMPOSTAZIONI!$C$9),"RICHIAMO MANTENIMENTO",""),IF($E65="In ciclo",IF(N($D65)&gt;=IMPOSTAZIONI!$C$5,"ULTIMA SEDUTA",IF(AND($I65&lt;&gt;"",TODAY()-$I65&gt;IMPOSTAZIONI!$C$7),"FUORI FINESTRA","PRENDI APPUNTAMENTO")),IF($E65="Da contattare","PRENDI APPUNTAMENTO","")))))))))))</f>
        <v/>
      </c>
      <c r="T65" s="17">
        <f>IF($S65="","",IFERROR(MATCH($S65,IMPOSTAZIONI!$F$5:$F$12,0),9)*100000000+(9999-MIN(9999,ROUND(N($O65)/100,0)))*10000+ROW())</f>
        <v/>
      </c>
    </row>
    <row r="66">
      <c r="A66" s="11" t="n"/>
      <c r="B66" s="12">
        <f>IF($S66="","",IFERROR(MATCH($S66,IMPOSTAZIONI!$F$5:$F$12,0),9)&amp;" · "&amp;$S66)</f>
        <v/>
      </c>
      <c r="C66" s="13" t="n"/>
      <c r="D66" s="14" t="n"/>
      <c r="E66" s="11" t="n"/>
      <c r="F66" s="15">
        <f>IF($A66="","",IF(LEN(IF(AND($C66&lt;&gt;"",$C66=TODAY())," · oggi in centro","")&amp;IF(AND($C66&lt;&gt;"",$C66&gt;=TODAY(),N($D66)+1&gt;=IMPOSTAZIONI!$C$5)," · ultima del ciclo, proponi il mantenimento","")&amp;IF(AND($C66&lt;&gt;"",$C66&gt;=TODAY(),$I66&lt;&gt;"",$C66-$I66&lt;IMPOSTAZIONI!$C$6)," · rientro anticipato, meno di "&amp;IMPOSTAZIONI!$C$6&amp;" giorni","")&amp;IF(AND($C66&lt;&gt;"",$C66&gt;=TODAY(),$I66&lt;&gt;"",$C66-$I66&gt;IMPOSTAZIONI!$C$7)," · rientro oltre "&amp;IMPOSTAZIONI!$C$7&amp;" giorni",""))=0,"",MID(IF(AND($C66&lt;&gt;"",$C66=TODAY())," · oggi in centro","")&amp;IF(AND($C66&lt;&gt;"",$C66&gt;=TODAY(),N($D66)+1&gt;=IMPOSTAZIONI!$C$5)," · ultima del ciclo, proponi il mantenimento","")&amp;IF(AND($C66&lt;&gt;"",$C66&gt;=TODAY(),$I66&lt;&gt;"",$C66-$I66&lt;IMPOSTAZIONI!$C$6)," · rientro anticipato, meno di "&amp;IMPOSTAZIONI!$C$6&amp;" giorni","")&amp;IF(AND($C66&lt;&gt;"",$C66&gt;=TODAY(),$I66&lt;&gt;"",$C66-$I66&gt;IMPOSTAZIONI!$C$7)," · rientro oltre "&amp;IMPOSTAZIONI!$C$7&amp;" giorni",""),4,300)))</f>
        <v/>
      </c>
      <c r="G66" s="16" t="n"/>
      <c r="H66" s="11" t="n"/>
      <c r="I66" s="13" t="n"/>
      <c r="J66" s="17">
        <f>IF($I66="","",TODAY()-$I66)</f>
        <v/>
      </c>
      <c r="K66" s="17">
        <f>IF($C66="","",$C66-TODAY())</f>
        <v/>
      </c>
      <c r="L66" s="15">
        <f>IF($A66="","",N($D66)&amp;"/"&amp;IMPOSTAZIONI!$C$5)</f>
        <v/>
      </c>
      <c r="M66" s="15">
        <f>IF($S66="","",IF($S66="RECUPERA CON INCENTIVO",INCENTIVI!$C$7,IF($S66="RICHIAMO MANTENIMENTO",INCENTIVI!$C$6,IF(OR($S66="FUORI FINESTRA",$S66="ULTIMA SEDUTA"),INCENTIVI!$C$5,""))))</f>
        <v/>
      </c>
      <c r="N66" s="18" t="n"/>
      <c r="O66" s="19">
        <f>IF($A66="","",N($D66)*N($N66))</f>
        <v/>
      </c>
      <c r="P66" s="19">
        <f>IF($A66="","",MAX(0,(IMPOSTAZIONI!$C$5-N($D66))*N($N66)))</f>
        <v/>
      </c>
      <c r="Q66" s="13" t="n"/>
      <c r="R66" s="11" t="n"/>
      <c r="S66" s="15">
        <f>IF($A66="","",IF(AND($C66&lt;&gt;"",$C66&lt;TODAY(),OR($I66="",$I66&lt;$C66)),"APPUNTAMENTO SALTATO",IF(AND($C66&lt;&gt;"",$C66-TODAY()=1),"CONFERMA DOMANI",IF(AND($C66&lt;&gt;"",$C66-TODAY()=IMPOSTAZIONI!$C$8),"CHIAMA PER CONFERMA",IF(AND($C66&lt;&gt;"",$C66&gt;=TODAY()),"",IF($E66="Sospesa","",IF($E66="Persa","RECUPERA CON INCENTIVO",IF(AND($I66&lt;&gt;"",TODAY()&gt;=EDATE($I66,IMPOSTAZIONI!$C$10)),"RECUPERA CON INCENTIVO",IF($E66="Mantenimento",IF(AND($I66&lt;&gt;"",TODAY()-$I66&gt;=IMPOSTAZIONI!$C$9),"RICHIAMO MANTENIMENTO",""),IF($E66="In ciclo",IF(N($D66)&gt;=IMPOSTAZIONI!$C$5,"ULTIMA SEDUTA",IF(AND($I66&lt;&gt;"",TODAY()-$I66&gt;IMPOSTAZIONI!$C$7),"FUORI FINESTRA","PRENDI APPUNTAMENTO")),IF($E66="Da contattare","PRENDI APPUNTAMENTO","")))))))))))</f>
        <v/>
      </c>
      <c r="T66" s="17">
        <f>IF($S66="","",IFERROR(MATCH($S66,IMPOSTAZIONI!$F$5:$F$12,0),9)*100000000+(9999-MIN(9999,ROUND(N($O66)/100,0)))*10000+ROW())</f>
        <v/>
      </c>
    </row>
    <row r="67">
      <c r="A67" s="11" t="n"/>
      <c r="B67" s="12">
        <f>IF($S67="","",IFERROR(MATCH($S67,IMPOSTAZIONI!$F$5:$F$12,0),9)&amp;" · "&amp;$S67)</f>
        <v/>
      </c>
      <c r="C67" s="13" t="n"/>
      <c r="D67" s="14" t="n"/>
      <c r="E67" s="11" t="n"/>
      <c r="F67" s="15">
        <f>IF($A67="","",IF(LEN(IF(AND($C67&lt;&gt;"",$C67=TODAY())," · oggi in centro","")&amp;IF(AND($C67&lt;&gt;"",$C67&gt;=TODAY(),N($D67)+1&gt;=IMPOSTAZIONI!$C$5)," · ultima del ciclo, proponi il mantenimento","")&amp;IF(AND($C67&lt;&gt;"",$C67&gt;=TODAY(),$I67&lt;&gt;"",$C67-$I67&lt;IMPOSTAZIONI!$C$6)," · rientro anticipato, meno di "&amp;IMPOSTAZIONI!$C$6&amp;" giorni","")&amp;IF(AND($C67&lt;&gt;"",$C67&gt;=TODAY(),$I67&lt;&gt;"",$C67-$I67&gt;IMPOSTAZIONI!$C$7)," · rientro oltre "&amp;IMPOSTAZIONI!$C$7&amp;" giorni",""))=0,"",MID(IF(AND($C67&lt;&gt;"",$C67=TODAY())," · oggi in centro","")&amp;IF(AND($C67&lt;&gt;"",$C67&gt;=TODAY(),N($D67)+1&gt;=IMPOSTAZIONI!$C$5)," · ultima del ciclo, proponi il mantenimento","")&amp;IF(AND($C67&lt;&gt;"",$C67&gt;=TODAY(),$I67&lt;&gt;"",$C67-$I67&lt;IMPOSTAZIONI!$C$6)," · rientro anticipato, meno di "&amp;IMPOSTAZIONI!$C$6&amp;" giorni","")&amp;IF(AND($C67&lt;&gt;"",$C67&gt;=TODAY(),$I67&lt;&gt;"",$C67-$I67&gt;IMPOSTAZIONI!$C$7)," · rientro oltre "&amp;IMPOSTAZIONI!$C$7&amp;" giorni",""),4,300)))</f>
        <v/>
      </c>
      <c r="G67" s="16" t="n"/>
      <c r="H67" s="11" t="n"/>
      <c r="I67" s="13" t="n"/>
      <c r="J67" s="17">
        <f>IF($I67="","",TODAY()-$I67)</f>
        <v/>
      </c>
      <c r="K67" s="17">
        <f>IF($C67="","",$C67-TODAY())</f>
        <v/>
      </c>
      <c r="L67" s="15">
        <f>IF($A67="","",N($D67)&amp;"/"&amp;IMPOSTAZIONI!$C$5)</f>
        <v/>
      </c>
      <c r="M67" s="15">
        <f>IF($S67="","",IF($S67="RECUPERA CON INCENTIVO",INCENTIVI!$C$7,IF($S67="RICHIAMO MANTENIMENTO",INCENTIVI!$C$6,IF(OR($S67="FUORI FINESTRA",$S67="ULTIMA SEDUTA"),INCENTIVI!$C$5,""))))</f>
        <v/>
      </c>
      <c r="N67" s="18" t="n"/>
      <c r="O67" s="19">
        <f>IF($A67="","",N($D67)*N($N67))</f>
        <v/>
      </c>
      <c r="P67" s="19">
        <f>IF($A67="","",MAX(0,(IMPOSTAZIONI!$C$5-N($D67))*N($N67)))</f>
        <v/>
      </c>
      <c r="Q67" s="13" t="n"/>
      <c r="R67" s="11" t="n"/>
      <c r="S67" s="15">
        <f>IF($A67="","",IF(AND($C67&lt;&gt;"",$C67&lt;TODAY(),OR($I67="",$I67&lt;$C67)),"APPUNTAMENTO SALTATO",IF(AND($C67&lt;&gt;"",$C67-TODAY()=1),"CONFERMA DOMANI",IF(AND($C67&lt;&gt;"",$C67-TODAY()=IMPOSTAZIONI!$C$8),"CHIAMA PER CONFERMA",IF(AND($C67&lt;&gt;"",$C67&gt;=TODAY()),"",IF($E67="Sospesa","",IF($E67="Persa","RECUPERA CON INCENTIVO",IF(AND($I67&lt;&gt;"",TODAY()&gt;=EDATE($I67,IMPOSTAZIONI!$C$10)),"RECUPERA CON INCENTIVO",IF($E67="Mantenimento",IF(AND($I67&lt;&gt;"",TODAY()-$I67&gt;=IMPOSTAZIONI!$C$9),"RICHIAMO MANTENIMENTO",""),IF($E67="In ciclo",IF(N($D67)&gt;=IMPOSTAZIONI!$C$5,"ULTIMA SEDUTA",IF(AND($I67&lt;&gt;"",TODAY()-$I67&gt;IMPOSTAZIONI!$C$7),"FUORI FINESTRA","PRENDI APPUNTAMENTO")),IF($E67="Da contattare","PRENDI APPUNTAMENTO","")))))))))))</f>
        <v/>
      </c>
      <c r="T67" s="17">
        <f>IF($S67="","",IFERROR(MATCH($S67,IMPOSTAZIONI!$F$5:$F$12,0),9)*100000000+(9999-MIN(9999,ROUND(N($O67)/100,0)))*10000+ROW())</f>
        <v/>
      </c>
    </row>
    <row r="68">
      <c r="A68" s="11" t="n"/>
      <c r="B68" s="12">
        <f>IF($S68="","",IFERROR(MATCH($S68,IMPOSTAZIONI!$F$5:$F$12,0),9)&amp;" · "&amp;$S68)</f>
        <v/>
      </c>
      <c r="C68" s="13" t="n"/>
      <c r="D68" s="14" t="n"/>
      <c r="E68" s="11" t="n"/>
      <c r="F68" s="15">
        <f>IF($A68="","",IF(LEN(IF(AND($C68&lt;&gt;"",$C68=TODAY())," · oggi in centro","")&amp;IF(AND($C68&lt;&gt;"",$C68&gt;=TODAY(),N($D68)+1&gt;=IMPOSTAZIONI!$C$5)," · ultima del ciclo, proponi il mantenimento","")&amp;IF(AND($C68&lt;&gt;"",$C68&gt;=TODAY(),$I68&lt;&gt;"",$C68-$I68&lt;IMPOSTAZIONI!$C$6)," · rientro anticipato, meno di "&amp;IMPOSTAZIONI!$C$6&amp;" giorni","")&amp;IF(AND($C68&lt;&gt;"",$C68&gt;=TODAY(),$I68&lt;&gt;"",$C68-$I68&gt;IMPOSTAZIONI!$C$7)," · rientro oltre "&amp;IMPOSTAZIONI!$C$7&amp;" giorni",""))=0,"",MID(IF(AND($C68&lt;&gt;"",$C68=TODAY())," · oggi in centro","")&amp;IF(AND($C68&lt;&gt;"",$C68&gt;=TODAY(),N($D68)+1&gt;=IMPOSTAZIONI!$C$5)," · ultima del ciclo, proponi il mantenimento","")&amp;IF(AND($C68&lt;&gt;"",$C68&gt;=TODAY(),$I68&lt;&gt;"",$C68-$I68&lt;IMPOSTAZIONI!$C$6)," · rientro anticipato, meno di "&amp;IMPOSTAZIONI!$C$6&amp;" giorni","")&amp;IF(AND($C68&lt;&gt;"",$C68&gt;=TODAY(),$I68&lt;&gt;"",$C68-$I68&gt;IMPOSTAZIONI!$C$7)," · rientro oltre "&amp;IMPOSTAZIONI!$C$7&amp;" giorni",""),4,300)))</f>
        <v/>
      </c>
      <c r="G68" s="16" t="n"/>
      <c r="H68" s="11" t="n"/>
      <c r="I68" s="13" t="n"/>
      <c r="J68" s="17">
        <f>IF($I68="","",TODAY()-$I68)</f>
        <v/>
      </c>
      <c r="K68" s="17">
        <f>IF($C68="","",$C68-TODAY())</f>
        <v/>
      </c>
      <c r="L68" s="15">
        <f>IF($A68="","",N($D68)&amp;"/"&amp;IMPOSTAZIONI!$C$5)</f>
        <v/>
      </c>
      <c r="M68" s="15">
        <f>IF($S68="","",IF($S68="RECUPERA CON INCENTIVO",INCENTIVI!$C$7,IF($S68="RICHIAMO MANTENIMENTO",INCENTIVI!$C$6,IF(OR($S68="FUORI FINESTRA",$S68="ULTIMA SEDUTA"),INCENTIVI!$C$5,""))))</f>
        <v/>
      </c>
      <c r="N68" s="18" t="n"/>
      <c r="O68" s="19">
        <f>IF($A68="","",N($D68)*N($N68))</f>
        <v/>
      </c>
      <c r="P68" s="19">
        <f>IF($A68="","",MAX(0,(IMPOSTAZIONI!$C$5-N($D68))*N($N68)))</f>
        <v/>
      </c>
      <c r="Q68" s="13" t="n"/>
      <c r="R68" s="11" t="n"/>
      <c r="S68" s="15">
        <f>IF($A68="","",IF(AND($C68&lt;&gt;"",$C68&lt;TODAY(),OR($I68="",$I68&lt;$C68)),"APPUNTAMENTO SALTATO",IF(AND($C68&lt;&gt;"",$C68-TODAY()=1),"CONFERMA DOMANI",IF(AND($C68&lt;&gt;"",$C68-TODAY()=IMPOSTAZIONI!$C$8),"CHIAMA PER CONFERMA",IF(AND($C68&lt;&gt;"",$C68&gt;=TODAY()),"",IF($E68="Sospesa","",IF($E68="Persa","RECUPERA CON INCENTIVO",IF(AND($I68&lt;&gt;"",TODAY()&gt;=EDATE($I68,IMPOSTAZIONI!$C$10)),"RECUPERA CON INCENTIVO",IF($E68="Mantenimento",IF(AND($I68&lt;&gt;"",TODAY()-$I68&gt;=IMPOSTAZIONI!$C$9),"RICHIAMO MANTENIMENTO",""),IF($E68="In ciclo",IF(N($D68)&gt;=IMPOSTAZIONI!$C$5,"ULTIMA SEDUTA",IF(AND($I68&lt;&gt;"",TODAY()-$I68&gt;IMPOSTAZIONI!$C$7),"FUORI FINESTRA","PRENDI APPUNTAMENTO")),IF($E68="Da contattare","PRENDI APPUNTAMENTO","")))))))))))</f>
        <v/>
      </c>
      <c r="T68" s="17">
        <f>IF($S68="","",IFERROR(MATCH($S68,IMPOSTAZIONI!$F$5:$F$12,0),9)*100000000+(9999-MIN(9999,ROUND(N($O68)/100,0)))*10000+ROW())</f>
        <v/>
      </c>
    </row>
    <row r="69">
      <c r="A69" s="11" t="n"/>
      <c r="B69" s="12">
        <f>IF($S69="","",IFERROR(MATCH($S69,IMPOSTAZIONI!$F$5:$F$12,0),9)&amp;" · "&amp;$S69)</f>
        <v/>
      </c>
      <c r="C69" s="13" t="n"/>
      <c r="D69" s="14" t="n"/>
      <c r="E69" s="11" t="n"/>
      <c r="F69" s="15">
        <f>IF($A69="","",IF(LEN(IF(AND($C69&lt;&gt;"",$C69=TODAY())," · oggi in centro","")&amp;IF(AND($C69&lt;&gt;"",$C69&gt;=TODAY(),N($D69)+1&gt;=IMPOSTAZIONI!$C$5)," · ultima del ciclo, proponi il mantenimento","")&amp;IF(AND($C69&lt;&gt;"",$C69&gt;=TODAY(),$I69&lt;&gt;"",$C69-$I69&lt;IMPOSTAZIONI!$C$6)," · rientro anticipato, meno di "&amp;IMPOSTAZIONI!$C$6&amp;" giorni","")&amp;IF(AND($C69&lt;&gt;"",$C69&gt;=TODAY(),$I69&lt;&gt;"",$C69-$I69&gt;IMPOSTAZIONI!$C$7)," · rientro oltre "&amp;IMPOSTAZIONI!$C$7&amp;" giorni",""))=0,"",MID(IF(AND($C69&lt;&gt;"",$C69=TODAY())," · oggi in centro","")&amp;IF(AND($C69&lt;&gt;"",$C69&gt;=TODAY(),N($D69)+1&gt;=IMPOSTAZIONI!$C$5)," · ultima del ciclo, proponi il mantenimento","")&amp;IF(AND($C69&lt;&gt;"",$C69&gt;=TODAY(),$I69&lt;&gt;"",$C69-$I69&lt;IMPOSTAZIONI!$C$6)," · rientro anticipato, meno di "&amp;IMPOSTAZIONI!$C$6&amp;" giorni","")&amp;IF(AND($C69&lt;&gt;"",$C69&gt;=TODAY(),$I69&lt;&gt;"",$C69-$I69&gt;IMPOSTAZIONI!$C$7)," · rientro oltre "&amp;IMPOSTAZIONI!$C$7&amp;" giorni",""),4,300)))</f>
        <v/>
      </c>
      <c r="G69" s="16" t="n"/>
      <c r="H69" s="11" t="n"/>
      <c r="I69" s="13" t="n"/>
      <c r="J69" s="17">
        <f>IF($I69="","",TODAY()-$I69)</f>
        <v/>
      </c>
      <c r="K69" s="17">
        <f>IF($C69="","",$C69-TODAY())</f>
        <v/>
      </c>
      <c r="L69" s="15">
        <f>IF($A69="","",N($D69)&amp;"/"&amp;IMPOSTAZIONI!$C$5)</f>
        <v/>
      </c>
      <c r="M69" s="15">
        <f>IF($S69="","",IF($S69="RECUPERA CON INCENTIVO",INCENTIVI!$C$7,IF($S69="RICHIAMO MANTENIMENTO",INCENTIVI!$C$6,IF(OR($S69="FUORI FINESTRA",$S69="ULTIMA SEDUTA"),INCENTIVI!$C$5,""))))</f>
        <v/>
      </c>
      <c r="N69" s="18" t="n"/>
      <c r="O69" s="19">
        <f>IF($A69="","",N($D69)*N($N69))</f>
        <v/>
      </c>
      <c r="P69" s="19">
        <f>IF($A69="","",MAX(0,(IMPOSTAZIONI!$C$5-N($D69))*N($N69)))</f>
        <v/>
      </c>
      <c r="Q69" s="13" t="n"/>
      <c r="R69" s="11" t="n"/>
      <c r="S69" s="15">
        <f>IF($A69="","",IF(AND($C69&lt;&gt;"",$C69&lt;TODAY(),OR($I69="",$I69&lt;$C69)),"APPUNTAMENTO SALTATO",IF(AND($C69&lt;&gt;"",$C69-TODAY()=1),"CONFERMA DOMANI",IF(AND($C69&lt;&gt;"",$C69-TODAY()=IMPOSTAZIONI!$C$8),"CHIAMA PER CONFERMA",IF(AND($C69&lt;&gt;"",$C69&gt;=TODAY()),"",IF($E69="Sospesa","",IF($E69="Persa","RECUPERA CON INCENTIVO",IF(AND($I69&lt;&gt;"",TODAY()&gt;=EDATE($I69,IMPOSTAZIONI!$C$10)),"RECUPERA CON INCENTIVO",IF($E69="Mantenimento",IF(AND($I69&lt;&gt;"",TODAY()-$I69&gt;=IMPOSTAZIONI!$C$9),"RICHIAMO MANTENIMENTO",""),IF($E69="In ciclo",IF(N($D69)&gt;=IMPOSTAZIONI!$C$5,"ULTIMA SEDUTA",IF(AND($I69&lt;&gt;"",TODAY()-$I69&gt;IMPOSTAZIONI!$C$7),"FUORI FINESTRA","PRENDI APPUNTAMENTO")),IF($E69="Da contattare","PRENDI APPUNTAMENTO","")))))))))))</f>
        <v/>
      </c>
      <c r="T69" s="17">
        <f>IF($S69="","",IFERROR(MATCH($S69,IMPOSTAZIONI!$F$5:$F$12,0),9)*100000000+(9999-MIN(9999,ROUND(N($O69)/100,0)))*10000+ROW())</f>
        <v/>
      </c>
    </row>
    <row r="70">
      <c r="A70" s="11" t="n"/>
      <c r="B70" s="12">
        <f>IF($S70="","",IFERROR(MATCH($S70,IMPOSTAZIONI!$F$5:$F$12,0),9)&amp;" · "&amp;$S70)</f>
        <v/>
      </c>
      <c r="C70" s="13" t="n"/>
      <c r="D70" s="14" t="n"/>
      <c r="E70" s="11" t="n"/>
      <c r="F70" s="15">
        <f>IF($A70="","",IF(LEN(IF(AND($C70&lt;&gt;"",$C70=TODAY())," · oggi in centro","")&amp;IF(AND($C70&lt;&gt;"",$C70&gt;=TODAY(),N($D70)+1&gt;=IMPOSTAZIONI!$C$5)," · ultima del ciclo, proponi il mantenimento","")&amp;IF(AND($C70&lt;&gt;"",$C70&gt;=TODAY(),$I70&lt;&gt;"",$C70-$I70&lt;IMPOSTAZIONI!$C$6)," · rientro anticipato, meno di "&amp;IMPOSTAZIONI!$C$6&amp;" giorni","")&amp;IF(AND($C70&lt;&gt;"",$C70&gt;=TODAY(),$I70&lt;&gt;"",$C70-$I70&gt;IMPOSTAZIONI!$C$7)," · rientro oltre "&amp;IMPOSTAZIONI!$C$7&amp;" giorni",""))=0,"",MID(IF(AND($C70&lt;&gt;"",$C70=TODAY())," · oggi in centro","")&amp;IF(AND($C70&lt;&gt;"",$C70&gt;=TODAY(),N($D70)+1&gt;=IMPOSTAZIONI!$C$5)," · ultima del ciclo, proponi il mantenimento","")&amp;IF(AND($C70&lt;&gt;"",$C70&gt;=TODAY(),$I70&lt;&gt;"",$C70-$I70&lt;IMPOSTAZIONI!$C$6)," · rientro anticipato, meno di "&amp;IMPOSTAZIONI!$C$6&amp;" giorni","")&amp;IF(AND($C70&lt;&gt;"",$C70&gt;=TODAY(),$I70&lt;&gt;"",$C70-$I70&gt;IMPOSTAZIONI!$C$7)," · rientro oltre "&amp;IMPOSTAZIONI!$C$7&amp;" giorni",""),4,300)))</f>
        <v/>
      </c>
      <c r="G70" s="16" t="n"/>
      <c r="H70" s="11" t="n"/>
      <c r="I70" s="13" t="n"/>
      <c r="J70" s="17">
        <f>IF($I70="","",TODAY()-$I70)</f>
        <v/>
      </c>
      <c r="K70" s="17">
        <f>IF($C70="","",$C70-TODAY())</f>
        <v/>
      </c>
      <c r="L70" s="15">
        <f>IF($A70="","",N($D70)&amp;"/"&amp;IMPOSTAZIONI!$C$5)</f>
        <v/>
      </c>
      <c r="M70" s="15">
        <f>IF($S70="","",IF($S70="RECUPERA CON INCENTIVO",INCENTIVI!$C$7,IF($S70="RICHIAMO MANTENIMENTO",INCENTIVI!$C$6,IF(OR($S70="FUORI FINESTRA",$S70="ULTIMA SEDUTA"),INCENTIVI!$C$5,""))))</f>
        <v/>
      </c>
      <c r="N70" s="18" t="n"/>
      <c r="O70" s="19">
        <f>IF($A70="","",N($D70)*N($N70))</f>
        <v/>
      </c>
      <c r="P70" s="19">
        <f>IF($A70="","",MAX(0,(IMPOSTAZIONI!$C$5-N($D70))*N($N70)))</f>
        <v/>
      </c>
      <c r="Q70" s="13" t="n"/>
      <c r="R70" s="11" t="n"/>
      <c r="S70" s="15">
        <f>IF($A70="","",IF(AND($C70&lt;&gt;"",$C70&lt;TODAY(),OR($I70="",$I70&lt;$C70)),"APPUNTAMENTO SALTATO",IF(AND($C70&lt;&gt;"",$C70-TODAY()=1),"CONFERMA DOMANI",IF(AND($C70&lt;&gt;"",$C70-TODAY()=IMPOSTAZIONI!$C$8),"CHIAMA PER CONFERMA",IF(AND($C70&lt;&gt;"",$C70&gt;=TODAY()),"",IF($E70="Sospesa","",IF($E70="Persa","RECUPERA CON INCENTIVO",IF(AND($I70&lt;&gt;"",TODAY()&gt;=EDATE($I70,IMPOSTAZIONI!$C$10)),"RECUPERA CON INCENTIVO",IF($E70="Mantenimento",IF(AND($I70&lt;&gt;"",TODAY()-$I70&gt;=IMPOSTAZIONI!$C$9),"RICHIAMO MANTENIMENTO",""),IF($E70="In ciclo",IF(N($D70)&gt;=IMPOSTAZIONI!$C$5,"ULTIMA SEDUTA",IF(AND($I70&lt;&gt;"",TODAY()-$I70&gt;IMPOSTAZIONI!$C$7),"FUORI FINESTRA","PRENDI APPUNTAMENTO")),IF($E70="Da contattare","PRENDI APPUNTAMENTO","")))))))))))</f>
        <v/>
      </c>
      <c r="T70" s="17">
        <f>IF($S70="","",IFERROR(MATCH($S70,IMPOSTAZIONI!$F$5:$F$12,0),9)*100000000+(9999-MIN(9999,ROUND(N($O70)/100,0)))*10000+ROW())</f>
        <v/>
      </c>
    </row>
    <row r="71">
      <c r="A71" s="11" t="n"/>
      <c r="B71" s="12">
        <f>IF($S71="","",IFERROR(MATCH($S71,IMPOSTAZIONI!$F$5:$F$12,0),9)&amp;" · "&amp;$S71)</f>
        <v/>
      </c>
      <c r="C71" s="13" t="n"/>
      <c r="D71" s="14" t="n"/>
      <c r="E71" s="11" t="n"/>
      <c r="F71" s="15">
        <f>IF($A71="","",IF(LEN(IF(AND($C71&lt;&gt;"",$C71=TODAY())," · oggi in centro","")&amp;IF(AND($C71&lt;&gt;"",$C71&gt;=TODAY(),N($D71)+1&gt;=IMPOSTAZIONI!$C$5)," · ultima del ciclo, proponi il mantenimento","")&amp;IF(AND($C71&lt;&gt;"",$C71&gt;=TODAY(),$I71&lt;&gt;"",$C71-$I71&lt;IMPOSTAZIONI!$C$6)," · rientro anticipato, meno di "&amp;IMPOSTAZIONI!$C$6&amp;" giorni","")&amp;IF(AND($C71&lt;&gt;"",$C71&gt;=TODAY(),$I71&lt;&gt;"",$C71-$I71&gt;IMPOSTAZIONI!$C$7)," · rientro oltre "&amp;IMPOSTAZIONI!$C$7&amp;" giorni",""))=0,"",MID(IF(AND($C71&lt;&gt;"",$C71=TODAY())," · oggi in centro","")&amp;IF(AND($C71&lt;&gt;"",$C71&gt;=TODAY(),N($D71)+1&gt;=IMPOSTAZIONI!$C$5)," · ultima del ciclo, proponi il mantenimento","")&amp;IF(AND($C71&lt;&gt;"",$C71&gt;=TODAY(),$I71&lt;&gt;"",$C71-$I71&lt;IMPOSTAZIONI!$C$6)," · rientro anticipato, meno di "&amp;IMPOSTAZIONI!$C$6&amp;" giorni","")&amp;IF(AND($C71&lt;&gt;"",$C71&gt;=TODAY(),$I71&lt;&gt;"",$C71-$I71&gt;IMPOSTAZIONI!$C$7)," · rientro oltre "&amp;IMPOSTAZIONI!$C$7&amp;" giorni",""),4,300)))</f>
        <v/>
      </c>
      <c r="G71" s="16" t="n"/>
      <c r="H71" s="11" t="n"/>
      <c r="I71" s="13" t="n"/>
      <c r="J71" s="17">
        <f>IF($I71="","",TODAY()-$I71)</f>
        <v/>
      </c>
      <c r="K71" s="17">
        <f>IF($C71="","",$C71-TODAY())</f>
        <v/>
      </c>
      <c r="L71" s="15">
        <f>IF($A71="","",N($D71)&amp;"/"&amp;IMPOSTAZIONI!$C$5)</f>
        <v/>
      </c>
      <c r="M71" s="15">
        <f>IF($S71="","",IF($S71="RECUPERA CON INCENTIVO",INCENTIVI!$C$7,IF($S71="RICHIAMO MANTENIMENTO",INCENTIVI!$C$6,IF(OR($S71="FUORI FINESTRA",$S71="ULTIMA SEDUTA"),INCENTIVI!$C$5,""))))</f>
        <v/>
      </c>
      <c r="N71" s="18" t="n"/>
      <c r="O71" s="19">
        <f>IF($A71="","",N($D71)*N($N71))</f>
        <v/>
      </c>
      <c r="P71" s="19">
        <f>IF($A71="","",MAX(0,(IMPOSTAZIONI!$C$5-N($D71))*N($N71)))</f>
        <v/>
      </c>
      <c r="Q71" s="13" t="n"/>
      <c r="R71" s="11" t="n"/>
      <c r="S71" s="15">
        <f>IF($A71="","",IF(AND($C71&lt;&gt;"",$C71&lt;TODAY(),OR($I71="",$I71&lt;$C71)),"APPUNTAMENTO SALTATO",IF(AND($C71&lt;&gt;"",$C71-TODAY()=1),"CONFERMA DOMANI",IF(AND($C71&lt;&gt;"",$C71-TODAY()=IMPOSTAZIONI!$C$8),"CHIAMA PER CONFERMA",IF(AND($C71&lt;&gt;"",$C71&gt;=TODAY()),"",IF($E71="Sospesa","",IF($E71="Persa","RECUPERA CON INCENTIVO",IF(AND($I71&lt;&gt;"",TODAY()&gt;=EDATE($I71,IMPOSTAZIONI!$C$10)),"RECUPERA CON INCENTIVO",IF($E71="Mantenimento",IF(AND($I71&lt;&gt;"",TODAY()-$I71&gt;=IMPOSTAZIONI!$C$9),"RICHIAMO MANTENIMENTO",""),IF($E71="In ciclo",IF(N($D71)&gt;=IMPOSTAZIONI!$C$5,"ULTIMA SEDUTA",IF(AND($I71&lt;&gt;"",TODAY()-$I71&gt;IMPOSTAZIONI!$C$7),"FUORI FINESTRA","PRENDI APPUNTAMENTO")),IF($E71="Da contattare","PRENDI APPUNTAMENTO","")))))))))))</f>
        <v/>
      </c>
      <c r="T71" s="17">
        <f>IF($S71="","",IFERROR(MATCH($S71,IMPOSTAZIONI!$F$5:$F$12,0),9)*100000000+(9999-MIN(9999,ROUND(N($O71)/100,0)))*10000+ROW())</f>
        <v/>
      </c>
    </row>
    <row r="72">
      <c r="A72" s="11" t="n"/>
      <c r="B72" s="12">
        <f>IF($S72="","",IFERROR(MATCH($S72,IMPOSTAZIONI!$F$5:$F$12,0),9)&amp;" · "&amp;$S72)</f>
        <v/>
      </c>
      <c r="C72" s="13" t="n"/>
      <c r="D72" s="14" t="n"/>
      <c r="E72" s="11" t="n"/>
      <c r="F72" s="15">
        <f>IF($A72="","",IF(LEN(IF(AND($C72&lt;&gt;"",$C72=TODAY())," · oggi in centro","")&amp;IF(AND($C72&lt;&gt;"",$C72&gt;=TODAY(),N($D72)+1&gt;=IMPOSTAZIONI!$C$5)," · ultima del ciclo, proponi il mantenimento","")&amp;IF(AND($C72&lt;&gt;"",$C72&gt;=TODAY(),$I72&lt;&gt;"",$C72-$I72&lt;IMPOSTAZIONI!$C$6)," · rientro anticipato, meno di "&amp;IMPOSTAZIONI!$C$6&amp;" giorni","")&amp;IF(AND($C72&lt;&gt;"",$C72&gt;=TODAY(),$I72&lt;&gt;"",$C72-$I72&gt;IMPOSTAZIONI!$C$7)," · rientro oltre "&amp;IMPOSTAZIONI!$C$7&amp;" giorni",""))=0,"",MID(IF(AND($C72&lt;&gt;"",$C72=TODAY())," · oggi in centro","")&amp;IF(AND($C72&lt;&gt;"",$C72&gt;=TODAY(),N($D72)+1&gt;=IMPOSTAZIONI!$C$5)," · ultima del ciclo, proponi il mantenimento","")&amp;IF(AND($C72&lt;&gt;"",$C72&gt;=TODAY(),$I72&lt;&gt;"",$C72-$I72&lt;IMPOSTAZIONI!$C$6)," · rientro anticipato, meno di "&amp;IMPOSTAZIONI!$C$6&amp;" giorni","")&amp;IF(AND($C72&lt;&gt;"",$C72&gt;=TODAY(),$I72&lt;&gt;"",$C72-$I72&gt;IMPOSTAZIONI!$C$7)," · rientro oltre "&amp;IMPOSTAZIONI!$C$7&amp;" giorni",""),4,300)))</f>
        <v/>
      </c>
      <c r="G72" s="16" t="n"/>
      <c r="H72" s="11" t="n"/>
      <c r="I72" s="13" t="n"/>
      <c r="J72" s="17">
        <f>IF($I72="","",TODAY()-$I72)</f>
        <v/>
      </c>
      <c r="K72" s="17">
        <f>IF($C72="","",$C72-TODAY())</f>
        <v/>
      </c>
      <c r="L72" s="15">
        <f>IF($A72="","",N($D72)&amp;"/"&amp;IMPOSTAZIONI!$C$5)</f>
        <v/>
      </c>
      <c r="M72" s="15">
        <f>IF($S72="","",IF($S72="RECUPERA CON INCENTIVO",INCENTIVI!$C$7,IF($S72="RICHIAMO MANTENIMENTO",INCENTIVI!$C$6,IF(OR($S72="FUORI FINESTRA",$S72="ULTIMA SEDUTA"),INCENTIVI!$C$5,""))))</f>
        <v/>
      </c>
      <c r="N72" s="18" t="n"/>
      <c r="O72" s="19">
        <f>IF($A72="","",N($D72)*N($N72))</f>
        <v/>
      </c>
      <c r="P72" s="19">
        <f>IF($A72="","",MAX(0,(IMPOSTAZIONI!$C$5-N($D72))*N($N72)))</f>
        <v/>
      </c>
      <c r="Q72" s="13" t="n"/>
      <c r="R72" s="11" t="n"/>
      <c r="S72" s="15">
        <f>IF($A72="","",IF(AND($C72&lt;&gt;"",$C72&lt;TODAY(),OR($I72="",$I72&lt;$C72)),"APPUNTAMENTO SALTATO",IF(AND($C72&lt;&gt;"",$C72-TODAY()=1),"CONFERMA DOMANI",IF(AND($C72&lt;&gt;"",$C72-TODAY()=IMPOSTAZIONI!$C$8),"CHIAMA PER CONFERMA",IF(AND($C72&lt;&gt;"",$C72&gt;=TODAY()),"",IF($E72="Sospesa","",IF($E72="Persa","RECUPERA CON INCENTIVO",IF(AND($I72&lt;&gt;"",TODAY()&gt;=EDATE($I72,IMPOSTAZIONI!$C$10)),"RECUPERA CON INCENTIVO",IF($E72="Mantenimento",IF(AND($I72&lt;&gt;"",TODAY()-$I72&gt;=IMPOSTAZIONI!$C$9),"RICHIAMO MANTENIMENTO",""),IF($E72="In ciclo",IF(N($D72)&gt;=IMPOSTAZIONI!$C$5,"ULTIMA SEDUTA",IF(AND($I72&lt;&gt;"",TODAY()-$I72&gt;IMPOSTAZIONI!$C$7),"FUORI FINESTRA","PRENDI APPUNTAMENTO")),IF($E72="Da contattare","PRENDI APPUNTAMENTO","")))))))))))</f>
        <v/>
      </c>
      <c r="T72" s="17">
        <f>IF($S72="","",IFERROR(MATCH($S72,IMPOSTAZIONI!$F$5:$F$12,0),9)*100000000+(9999-MIN(9999,ROUND(N($O72)/100,0)))*10000+ROW())</f>
        <v/>
      </c>
    </row>
    <row r="73">
      <c r="A73" s="11" t="n"/>
      <c r="B73" s="12">
        <f>IF($S73="","",IFERROR(MATCH($S73,IMPOSTAZIONI!$F$5:$F$12,0),9)&amp;" · "&amp;$S73)</f>
        <v/>
      </c>
      <c r="C73" s="13" t="n"/>
      <c r="D73" s="14" t="n"/>
      <c r="E73" s="11" t="n"/>
      <c r="F73" s="15">
        <f>IF($A73="","",IF(LEN(IF(AND($C73&lt;&gt;"",$C73=TODAY())," · oggi in centro","")&amp;IF(AND($C73&lt;&gt;"",$C73&gt;=TODAY(),N($D73)+1&gt;=IMPOSTAZIONI!$C$5)," · ultima del ciclo, proponi il mantenimento","")&amp;IF(AND($C73&lt;&gt;"",$C73&gt;=TODAY(),$I73&lt;&gt;"",$C73-$I73&lt;IMPOSTAZIONI!$C$6)," · rientro anticipato, meno di "&amp;IMPOSTAZIONI!$C$6&amp;" giorni","")&amp;IF(AND($C73&lt;&gt;"",$C73&gt;=TODAY(),$I73&lt;&gt;"",$C73-$I73&gt;IMPOSTAZIONI!$C$7)," · rientro oltre "&amp;IMPOSTAZIONI!$C$7&amp;" giorni",""))=0,"",MID(IF(AND($C73&lt;&gt;"",$C73=TODAY())," · oggi in centro","")&amp;IF(AND($C73&lt;&gt;"",$C73&gt;=TODAY(),N($D73)+1&gt;=IMPOSTAZIONI!$C$5)," · ultima del ciclo, proponi il mantenimento","")&amp;IF(AND($C73&lt;&gt;"",$C73&gt;=TODAY(),$I73&lt;&gt;"",$C73-$I73&lt;IMPOSTAZIONI!$C$6)," · rientro anticipato, meno di "&amp;IMPOSTAZIONI!$C$6&amp;" giorni","")&amp;IF(AND($C73&lt;&gt;"",$C73&gt;=TODAY(),$I73&lt;&gt;"",$C73-$I73&gt;IMPOSTAZIONI!$C$7)," · rientro oltre "&amp;IMPOSTAZIONI!$C$7&amp;" giorni",""),4,300)))</f>
        <v/>
      </c>
      <c r="G73" s="16" t="n"/>
      <c r="H73" s="11" t="n"/>
      <c r="I73" s="13" t="n"/>
      <c r="J73" s="17">
        <f>IF($I73="","",TODAY()-$I73)</f>
        <v/>
      </c>
      <c r="K73" s="17">
        <f>IF($C73="","",$C73-TODAY())</f>
        <v/>
      </c>
      <c r="L73" s="15">
        <f>IF($A73="","",N($D73)&amp;"/"&amp;IMPOSTAZIONI!$C$5)</f>
        <v/>
      </c>
      <c r="M73" s="15">
        <f>IF($S73="","",IF($S73="RECUPERA CON INCENTIVO",INCENTIVI!$C$7,IF($S73="RICHIAMO MANTENIMENTO",INCENTIVI!$C$6,IF(OR($S73="FUORI FINESTRA",$S73="ULTIMA SEDUTA"),INCENTIVI!$C$5,""))))</f>
        <v/>
      </c>
      <c r="N73" s="18" t="n"/>
      <c r="O73" s="19">
        <f>IF($A73="","",N($D73)*N($N73))</f>
        <v/>
      </c>
      <c r="P73" s="19">
        <f>IF($A73="","",MAX(0,(IMPOSTAZIONI!$C$5-N($D73))*N($N73)))</f>
        <v/>
      </c>
      <c r="Q73" s="13" t="n"/>
      <c r="R73" s="11" t="n"/>
      <c r="S73" s="15">
        <f>IF($A73="","",IF(AND($C73&lt;&gt;"",$C73&lt;TODAY(),OR($I73="",$I73&lt;$C73)),"APPUNTAMENTO SALTATO",IF(AND($C73&lt;&gt;"",$C73-TODAY()=1),"CONFERMA DOMANI",IF(AND($C73&lt;&gt;"",$C73-TODAY()=IMPOSTAZIONI!$C$8),"CHIAMA PER CONFERMA",IF(AND($C73&lt;&gt;"",$C73&gt;=TODAY()),"",IF($E73="Sospesa","",IF($E73="Persa","RECUPERA CON INCENTIVO",IF(AND($I73&lt;&gt;"",TODAY()&gt;=EDATE($I73,IMPOSTAZIONI!$C$10)),"RECUPERA CON INCENTIVO",IF($E73="Mantenimento",IF(AND($I73&lt;&gt;"",TODAY()-$I73&gt;=IMPOSTAZIONI!$C$9),"RICHIAMO MANTENIMENTO",""),IF($E73="In ciclo",IF(N($D73)&gt;=IMPOSTAZIONI!$C$5,"ULTIMA SEDUTA",IF(AND($I73&lt;&gt;"",TODAY()-$I73&gt;IMPOSTAZIONI!$C$7),"FUORI FINESTRA","PRENDI APPUNTAMENTO")),IF($E73="Da contattare","PRENDI APPUNTAMENTO","")))))))))))</f>
        <v/>
      </c>
      <c r="T73" s="17">
        <f>IF($S73="","",IFERROR(MATCH($S73,IMPOSTAZIONI!$F$5:$F$12,0),9)*100000000+(9999-MIN(9999,ROUND(N($O73)/100,0)))*10000+ROW())</f>
        <v/>
      </c>
    </row>
    <row r="74">
      <c r="A74" s="11" t="n"/>
      <c r="B74" s="12">
        <f>IF($S74="","",IFERROR(MATCH($S74,IMPOSTAZIONI!$F$5:$F$12,0),9)&amp;" · "&amp;$S74)</f>
        <v/>
      </c>
      <c r="C74" s="13" t="n"/>
      <c r="D74" s="14" t="n"/>
      <c r="E74" s="11" t="n"/>
      <c r="F74" s="15">
        <f>IF($A74="","",IF(LEN(IF(AND($C74&lt;&gt;"",$C74=TODAY())," · oggi in centro","")&amp;IF(AND($C74&lt;&gt;"",$C74&gt;=TODAY(),N($D74)+1&gt;=IMPOSTAZIONI!$C$5)," · ultima del ciclo, proponi il mantenimento","")&amp;IF(AND($C74&lt;&gt;"",$C74&gt;=TODAY(),$I74&lt;&gt;"",$C74-$I74&lt;IMPOSTAZIONI!$C$6)," · rientro anticipato, meno di "&amp;IMPOSTAZIONI!$C$6&amp;" giorni","")&amp;IF(AND($C74&lt;&gt;"",$C74&gt;=TODAY(),$I74&lt;&gt;"",$C74-$I74&gt;IMPOSTAZIONI!$C$7)," · rientro oltre "&amp;IMPOSTAZIONI!$C$7&amp;" giorni",""))=0,"",MID(IF(AND($C74&lt;&gt;"",$C74=TODAY())," · oggi in centro","")&amp;IF(AND($C74&lt;&gt;"",$C74&gt;=TODAY(),N($D74)+1&gt;=IMPOSTAZIONI!$C$5)," · ultima del ciclo, proponi il mantenimento","")&amp;IF(AND($C74&lt;&gt;"",$C74&gt;=TODAY(),$I74&lt;&gt;"",$C74-$I74&lt;IMPOSTAZIONI!$C$6)," · rientro anticipato, meno di "&amp;IMPOSTAZIONI!$C$6&amp;" giorni","")&amp;IF(AND($C74&lt;&gt;"",$C74&gt;=TODAY(),$I74&lt;&gt;"",$C74-$I74&gt;IMPOSTAZIONI!$C$7)," · rientro oltre "&amp;IMPOSTAZIONI!$C$7&amp;" giorni",""),4,300)))</f>
        <v/>
      </c>
      <c r="G74" s="16" t="n"/>
      <c r="H74" s="11" t="n"/>
      <c r="I74" s="13" t="n"/>
      <c r="J74" s="17">
        <f>IF($I74="","",TODAY()-$I74)</f>
        <v/>
      </c>
      <c r="K74" s="17">
        <f>IF($C74="","",$C74-TODAY())</f>
        <v/>
      </c>
      <c r="L74" s="15">
        <f>IF($A74="","",N($D74)&amp;"/"&amp;IMPOSTAZIONI!$C$5)</f>
        <v/>
      </c>
      <c r="M74" s="15">
        <f>IF($S74="","",IF($S74="RECUPERA CON INCENTIVO",INCENTIVI!$C$7,IF($S74="RICHIAMO MANTENIMENTO",INCENTIVI!$C$6,IF(OR($S74="FUORI FINESTRA",$S74="ULTIMA SEDUTA"),INCENTIVI!$C$5,""))))</f>
        <v/>
      </c>
      <c r="N74" s="18" t="n"/>
      <c r="O74" s="19">
        <f>IF($A74="","",N($D74)*N($N74))</f>
        <v/>
      </c>
      <c r="P74" s="19">
        <f>IF($A74="","",MAX(0,(IMPOSTAZIONI!$C$5-N($D74))*N($N74)))</f>
        <v/>
      </c>
      <c r="Q74" s="13" t="n"/>
      <c r="R74" s="11" t="n"/>
      <c r="S74" s="15">
        <f>IF($A74="","",IF(AND($C74&lt;&gt;"",$C74&lt;TODAY(),OR($I74="",$I74&lt;$C74)),"APPUNTAMENTO SALTATO",IF(AND($C74&lt;&gt;"",$C74-TODAY()=1),"CONFERMA DOMANI",IF(AND($C74&lt;&gt;"",$C74-TODAY()=IMPOSTAZIONI!$C$8),"CHIAMA PER CONFERMA",IF(AND($C74&lt;&gt;"",$C74&gt;=TODAY()),"",IF($E74="Sospesa","",IF($E74="Persa","RECUPERA CON INCENTIVO",IF(AND($I74&lt;&gt;"",TODAY()&gt;=EDATE($I74,IMPOSTAZIONI!$C$10)),"RECUPERA CON INCENTIVO",IF($E74="Mantenimento",IF(AND($I74&lt;&gt;"",TODAY()-$I74&gt;=IMPOSTAZIONI!$C$9),"RICHIAMO MANTENIMENTO",""),IF($E74="In ciclo",IF(N($D74)&gt;=IMPOSTAZIONI!$C$5,"ULTIMA SEDUTA",IF(AND($I74&lt;&gt;"",TODAY()-$I74&gt;IMPOSTAZIONI!$C$7),"FUORI FINESTRA","PRENDI APPUNTAMENTO")),IF($E74="Da contattare","PRENDI APPUNTAMENTO","")))))))))))</f>
        <v/>
      </c>
      <c r="T74" s="17">
        <f>IF($S74="","",IFERROR(MATCH($S74,IMPOSTAZIONI!$F$5:$F$12,0),9)*100000000+(9999-MIN(9999,ROUND(N($O74)/100,0)))*10000+ROW())</f>
        <v/>
      </c>
    </row>
    <row r="75">
      <c r="A75" s="11" t="n"/>
      <c r="B75" s="12">
        <f>IF($S75="","",IFERROR(MATCH($S75,IMPOSTAZIONI!$F$5:$F$12,0),9)&amp;" · "&amp;$S75)</f>
        <v/>
      </c>
      <c r="C75" s="13" t="n"/>
      <c r="D75" s="14" t="n"/>
      <c r="E75" s="11" t="n"/>
      <c r="F75" s="15">
        <f>IF($A75="","",IF(LEN(IF(AND($C75&lt;&gt;"",$C75=TODAY())," · oggi in centro","")&amp;IF(AND($C75&lt;&gt;"",$C75&gt;=TODAY(),N($D75)+1&gt;=IMPOSTAZIONI!$C$5)," · ultima del ciclo, proponi il mantenimento","")&amp;IF(AND($C75&lt;&gt;"",$C75&gt;=TODAY(),$I75&lt;&gt;"",$C75-$I75&lt;IMPOSTAZIONI!$C$6)," · rientro anticipato, meno di "&amp;IMPOSTAZIONI!$C$6&amp;" giorni","")&amp;IF(AND($C75&lt;&gt;"",$C75&gt;=TODAY(),$I75&lt;&gt;"",$C75-$I75&gt;IMPOSTAZIONI!$C$7)," · rientro oltre "&amp;IMPOSTAZIONI!$C$7&amp;" giorni",""))=0,"",MID(IF(AND($C75&lt;&gt;"",$C75=TODAY())," · oggi in centro","")&amp;IF(AND($C75&lt;&gt;"",$C75&gt;=TODAY(),N($D75)+1&gt;=IMPOSTAZIONI!$C$5)," · ultima del ciclo, proponi il mantenimento","")&amp;IF(AND($C75&lt;&gt;"",$C75&gt;=TODAY(),$I75&lt;&gt;"",$C75-$I75&lt;IMPOSTAZIONI!$C$6)," · rientro anticipato, meno di "&amp;IMPOSTAZIONI!$C$6&amp;" giorni","")&amp;IF(AND($C75&lt;&gt;"",$C75&gt;=TODAY(),$I75&lt;&gt;"",$C75-$I75&gt;IMPOSTAZIONI!$C$7)," · rientro oltre "&amp;IMPOSTAZIONI!$C$7&amp;" giorni",""),4,300)))</f>
        <v/>
      </c>
      <c r="G75" s="16" t="n"/>
      <c r="H75" s="11" t="n"/>
      <c r="I75" s="13" t="n"/>
      <c r="J75" s="17">
        <f>IF($I75="","",TODAY()-$I75)</f>
        <v/>
      </c>
      <c r="K75" s="17">
        <f>IF($C75="","",$C75-TODAY())</f>
        <v/>
      </c>
      <c r="L75" s="15">
        <f>IF($A75="","",N($D75)&amp;"/"&amp;IMPOSTAZIONI!$C$5)</f>
        <v/>
      </c>
      <c r="M75" s="15">
        <f>IF($S75="","",IF($S75="RECUPERA CON INCENTIVO",INCENTIVI!$C$7,IF($S75="RICHIAMO MANTENIMENTO",INCENTIVI!$C$6,IF(OR($S75="FUORI FINESTRA",$S75="ULTIMA SEDUTA"),INCENTIVI!$C$5,""))))</f>
        <v/>
      </c>
      <c r="N75" s="18" t="n"/>
      <c r="O75" s="19">
        <f>IF($A75="","",N($D75)*N($N75))</f>
        <v/>
      </c>
      <c r="P75" s="19">
        <f>IF($A75="","",MAX(0,(IMPOSTAZIONI!$C$5-N($D75))*N($N75)))</f>
        <v/>
      </c>
      <c r="Q75" s="13" t="n"/>
      <c r="R75" s="11" t="n"/>
      <c r="S75" s="15">
        <f>IF($A75="","",IF(AND($C75&lt;&gt;"",$C75&lt;TODAY(),OR($I75="",$I75&lt;$C75)),"APPUNTAMENTO SALTATO",IF(AND($C75&lt;&gt;"",$C75-TODAY()=1),"CONFERMA DOMANI",IF(AND($C75&lt;&gt;"",$C75-TODAY()=IMPOSTAZIONI!$C$8),"CHIAMA PER CONFERMA",IF(AND($C75&lt;&gt;"",$C75&gt;=TODAY()),"",IF($E75="Sospesa","",IF($E75="Persa","RECUPERA CON INCENTIVO",IF(AND($I75&lt;&gt;"",TODAY()&gt;=EDATE($I75,IMPOSTAZIONI!$C$10)),"RECUPERA CON INCENTIVO",IF($E75="Mantenimento",IF(AND($I75&lt;&gt;"",TODAY()-$I75&gt;=IMPOSTAZIONI!$C$9),"RICHIAMO MANTENIMENTO",""),IF($E75="In ciclo",IF(N($D75)&gt;=IMPOSTAZIONI!$C$5,"ULTIMA SEDUTA",IF(AND($I75&lt;&gt;"",TODAY()-$I75&gt;IMPOSTAZIONI!$C$7),"FUORI FINESTRA","PRENDI APPUNTAMENTO")),IF($E75="Da contattare","PRENDI APPUNTAMENTO","")))))))))))</f>
        <v/>
      </c>
      <c r="T75" s="17">
        <f>IF($S75="","",IFERROR(MATCH($S75,IMPOSTAZIONI!$F$5:$F$12,0),9)*100000000+(9999-MIN(9999,ROUND(N($O75)/100,0)))*10000+ROW())</f>
        <v/>
      </c>
    </row>
    <row r="76">
      <c r="A76" s="11" t="n"/>
      <c r="B76" s="12">
        <f>IF($S76="","",IFERROR(MATCH($S76,IMPOSTAZIONI!$F$5:$F$12,0),9)&amp;" · "&amp;$S76)</f>
        <v/>
      </c>
      <c r="C76" s="13" t="n"/>
      <c r="D76" s="14" t="n"/>
      <c r="E76" s="11" t="n"/>
      <c r="F76" s="15">
        <f>IF($A76="","",IF(LEN(IF(AND($C76&lt;&gt;"",$C76=TODAY())," · oggi in centro","")&amp;IF(AND($C76&lt;&gt;"",$C76&gt;=TODAY(),N($D76)+1&gt;=IMPOSTAZIONI!$C$5)," · ultima del ciclo, proponi il mantenimento","")&amp;IF(AND($C76&lt;&gt;"",$C76&gt;=TODAY(),$I76&lt;&gt;"",$C76-$I76&lt;IMPOSTAZIONI!$C$6)," · rientro anticipato, meno di "&amp;IMPOSTAZIONI!$C$6&amp;" giorni","")&amp;IF(AND($C76&lt;&gt;"",$C76&gt;=TODAY(),$I76&lt;&gt;"",$C76-$I76&gt;IMPOSTAZIONI!$C$7)," · rientro oltre "&amp;IMPOSTAZIONI!$C$7&amp;" giorni",""))=0,"",MID(IF(AND($C76&lt;&gt;"",$C76=TODAY())," · oggi in centro","")&amp;IF(AND($C76&lt;&gt;"",$C76&gt;=TODAY(),N($D76)+1&gt;=IMPOSTAZIONI!$C$5)," · ultima del ciclo, proponi il mantenimento","")&amp;IF(AND($C76&lt;&gt;"",$C76&gt;=TODAY(),$I76&lt;&gt;"",$C76-$I76&lt;IMPOSTAZIONI!$C$6)," · rientro anticipato, meno di "&amp;IMPOSTAZIONI!$C$6&amp;" giorni","")&amp;IF(AND($C76&lt;&gt;"",$C76&gt;=TODAY(),$I76&lt;&gt;"",$C76-$I76&gt;IMPOSTAZIONI!$C$7)," · rientro oltre "&amp;IMPOSTAZIONI!$C$7&amp;" giorni",""),4,300)))</f>
        <v/>
      </c>
      <c r="G76" s="16" t="n"/>
      <c r="H76" s="11" t="n"/>
      <c r="I76" s="13" t="n"/>
      <c r="J76" s="17">
        <f>IF($I76="","",TODAY()-$I76)</f>
        <v/>
      </c>
      <c r="K76" s="17">
        <f>IF($C76="","",$C76-TODAY())</f>
        <v/>
      </c>
      <c r="L76" s="15">
        <f>IF($A76="","",N($D76)&amp;"/"&amp;IMPOSTAZIONI!$C$5)</f>
        <v/>
      </c>
      <c r="M76" s="15">
        <f>IF($S76="","",IF($S76="RECUPERA CON INCENTIVO",INCENTIVI!$C$7,IF($S76="RICHIAMO MANTENIMENTO",INCENTIVI!$C$6,IF(OR($S76="FUORI FINESTRA",$S76="ULTIMA SEDUTA"),INCENTIVI!$C$5,""))))</f>
        <v/>
      </c>
      <c r="N76" s="18" t="n"/>
      <c r="O76" s="19">
        <f>IF($A76="","",N($D76)*N($N76))</f>
        <v/>
      </c>
      <c r="P76" s="19">
        <f>IF($A76="","",MAX(0,(IMPOSTAZIONI!$C$5-N($D76))*N($N76)))</f>
        <v/>
      </c>
      <c r="Q76" s="13" t="n"/>
      <c r="R76" s="11" t="n"/>
      <c r="S76" s="15">
        <f>IF($A76="","",IF(AND($C76&lt;&gt;"",$C76&lt;TODAY(),OR($I76="",$I76&lt;$C76)),"APPUNTAMENTO SALTATO",IF(AND($C76&lt;&gt;"",$C76-TODAY()=1),"CONFERMA DOMANI",IF(AND($C76&lt;&gt;"",$C76-TODAY()=IMPOSTAZIONI!$C$8),"CHIAMA PER CONFERMA",IF(AND($C76&lt;&gt;"",$C76&gt;=TODAY()),"",IF($E76="Sospesa","",IF($E76="Persa","RECUPERA CON INCENTIVO",IF(AND($I76&lt;&gt;"",TODAY()&gt;=EDATE($I76,IMPOSTAZIONI!$C$10)),"RECUPERA CON INCENTIVO",IF($E76="Mantenimento",IF(AND($I76&lt;&gt;"",TODAY()-$I76&gt;=IMPOSTAZIONI!$C$9),"RICHIAMO MANTENIMENTO",""),IF($E76="In ciclo",IF(N($D76)&gt;=IMPOSTAZIONI!$C$5,"ULTIMA SEDUTA",IF(AND($I76&lt;&gt;"",TODAY()-$I76&gt;IMPOSTAZIONI!$C$7),"FUORI FINESTRA","PRENDI APPUNTAMENTO")),IF($E76="Da contattare","PRENDI APPUNTAMENTO","")))))))))))</f>
        <v/>
      </c>
      <c r="T76" s="17">
        <f>IF($S76="","",IFERROR(MATCH($S76,IMPOSTAZIONI!$F$5:$F$12,0),9)*100000000+(9999-MIN(9999,ROUND(N($O76)/100,0)))*10000+ROW())</f>
        <v/>
      </c>
    </row>
    <row r="77">
      <c r="A77" s="11" t="n"/>
      <c r="B77" s="12">
        <f>IF($S77="","",IFERROR(MATCH($S77,IMPOSTAZIONI!$F$5:$F$12,0),9)&amp;" · "&amp;$S77)</f>
        <v/>
      </c>
      <c r="C77" s="13" t="n"/>
      <c r="D77" s="14" t="n"/>
      <c r="E77" s="11" t="n"/>
      <c r="F77" s="15">
        <f>IF($A77="","",IF(LEN(IF(AND($C77&lt;&gt;"",$C77=TODAY())," · oggi in centro","")&amp;IF(AND($C77&lt;&gt;"",$C77&gt;=TODAY(),N($D77)+1&gt;=IMPOSTAZIONI!$C$5)," · ultima del ciclo, proponi il mantenimento","")&amp;IF(AND($C77&lt;&gt;"",$C77&gt;=TODAY(),$I77&lt;&gt;"",$C77-$I77&lt;IMPOSTAZIONI!$C$6)," · rientro anticipato, meno di "&amp;IMPOSTAZIONI!$C$6&amp;" giorni","")&amp;IF(AND($C77&lt;&gt;"",$C77&gt;=TODAY(),$I77&lt;&gt;"",$C77-$I77&gt;IMPOSTAZIONI!$C$7)," · rientro oltre "&amp;IMPOSTAZIONI!$C$7&amp;" giorni",""))=0,"",MID(IF(AND($C77&lt;&gt;"",$C77=TODAY())," · oggi in centro","")&amp;IF(AND($C77&lt;&gt;"",$C77&gt;=TODAY(),N($D77)+1&gt;=IMPOSTAZIONI!$C$5)," · ultima del ciclo, proponi il mantenimento","")&amp;IF(AND($C77&lt;&gt;"",$C77&gt;=TODAY(),$I77&lt;&gt;"",$C77-$I77&lt;IMPOSTAZIONI!$C$6)," · rientro anticipato, meno di "&amp;IMPOSTAZIONI!$C$6&amp;" giorni","")&amp;IF(AND($C77&lt;&gt;"",$C77&gt;=TODAY(),$I77&lt;&gt;"",$C77-$I77&gt;IMPOSTAZIONI!$C$7)," · rientro oltre "&amp;IMPOSTAZIONI!$C$7&amp;" giorni",""),4,300)))</f>
        <v/>
      </c>
      <c r="G77" s="16" t="n"/>
      <c r="H77" s="11" t="n"/>
      <c r="I77" s="13" t="n"/>
      <c r="J77" s="17">
        <f>IF($I77="","",TODAY()-$I77)</f>
        <v/>
      </c>
      <c r="K77" s="17">
        <f>IF($C77="","",$C77-TODAY())</f>
        <v/>
      </c>
      <c r="L77" s="15">
        <f>IF($A77="","",N($D77)&amp;"/"&amp;IMPOSTAZIONI!$C$5)</f>
        <v/>
      </c>
      <c r="M77" s="15">
        <f>IF($S77="","",IF($S77="RECUPERA CON INCENTIVO",INCENTIVI!$C$7,IF($S77="RICHIAMO MANTENIMENTO",INCENTIVI!$C$6,IF(OR($S77="FUORI FINESTRA",$S77="ULTIMA SEDUTA"),INCENTIVI!$C$5,""))))</f>
        <v/>
      </c>
      <c r="N77" s="18" t="n"/>
      <c r="O77" s="19">
        <f>IF($A77="","",N($D77)*N($N77))</f>
        <v/>
      </c>
      <c r="P77" s="19">
        <f>IF($A77="","",MAX(0,(IMPOSTAZIONI!$C$5-N($D77))*N($N77)))</f>
        <v/>
      </c>
      <c r="Q77" s="13" t="n"/>
      <c r="R77" s="11" t="n"/>
      <c r="S77" s="15">
        <f>IF($A77="","",IF(AND($C77&lt;&gt;"",$C77&lt;TODAY(),OR($I77="",$I77&lt;$C77)),"APPUNTAMENTO SALTATO",IF(AND($C77&lt;&gt;"",$C77-TODAY()=1),"CONFERMA DOMANI",IF(AND($C77&lt;&gt;"",$C77-TODAY()=IMPOSTAZIONI!$C$8),"CHIAMA PER CONFERMA",IF(AND($C77&lt;&gt;"",$C77&gt;=TODAY()),"",IF($E77="Sospesa","",IF($E77="Persa","RECUPERA CON INCENTIVO",IF(AND($I77&lt;&gt;"",TODAY()&gt;=EDATE($I77,IMPOSTAZIONI!$C$10)),"RECUPERA CON INCENTIVO",IF($E77="Mantenimento",IF(AND($I77&lt;&gt;"",TODAY()-$I77&gt;=IMPOSTAZIONI!$C$9),"RICHIAMO MANTENIMENTO",""),IF($E77="In ciclo",IF(N($D77)&gt;=IMPOSTAZIONI!$C$5,"ULTIMA SEDUTA",IF(AND($I77&lt;&gt;"",TODAY()-$I77&gt;IMPOSTAZIONI!$C$7),"FUORI FINESTRA","PRENDI APPUNTAMENTO")),IF($E77="Da contattare","PRENDI APPUNTAMENTO","")))))))))))</f>
        <v/>
      </c>
      <c r="T77" s="17">
        <f>IF($S77="","",IFERROR(MATCH($S77,IMPOSTAZIONI!$F$5:$F$12,0),9)*100000000+(9999-MIN(9999,ROUND(N($O77)/100,0)))*10000+ROW())</f>
        <v/>
      </c>
    </row>
    <row r="78">
      <c r="A78" s="11" t="n"/>
      <c r="B78" s="12">
        <f>IF($S78="","",IFERROR(MATCH($S78,IMPOSTAZIONI!$F$5:$F$12,0),9)&amp;" · "&amp;$S78)</f>
        <v/>
      </c>
      <c r="C78" s="13" t="n"/>
      <c r="D78" s="14" t="n"/>
      <c r="E78" s="11" t="n"/>
      <c r="F78" s="15">
        <f>IF($A78="","",IF(LEN(IF(AND($C78&lt;&gt;"",$C78=TODAY())," · oggi in centro","")&amp;IF(AND($C78&lt;&gt;"",$C78&gt;=TODAY(),N($D78)+1&gt;=IMPOSTAZIONI!$C$5)," · ultima del ciclo, proponi il mantenimento","")&amp;IF(AND($C78&lt;&gt;"",$C78&gt;=TODAY(),$I78&lt;&gt;"",$C78-$I78&lt;IMPOSTAZIONI!$C$6)," · rientro anticipato, meno di "&amp;IMPOSTAZIONI!$C$6&amp;" giorni","")&amp;IF(AND($C78&lt;&gt;"",$C78&gt;=TODAY(),$I78&lt;&gt;"",$C78-$I78&gt;IMPOSTAZIONI!$C$7)," · rientro oltre "&amp;IMPOSTAZIONI!$C$7&amp;" giorni",""))=0,"",MID(IF(AND($C78&lt;&gt;"",$C78=TODAY())," · oggi in centro","")&amp;IF(AND($C78&lt;&gt;"",$C78&gt;=TODAY(),N($D78)+1&gt;=IMPOSTAZIONI!$C$5)," · ultima del ciclo, proponi il mantenimento","")&amp;IF(AND($C78&lt;&gt;"",$C78&gt;=TODAY(),$I78&lt;&gt;"",$C78-$I78&lt;IMPOSTAZIONI!$C$6)," · rientro anticipato, meno di "&amp;IMPOSTAZIONI!$C$6&amp;" giorni","")&amp;IF(AND($C78&lt;&gt;"",$C78&gt;=TODAY(),$I78&lt;&gt;"",$C78-$I78&gt;IMPOSTAZIONI!$C$7)," · rientro oltre "&amp;IMPOSTAZIONI!$C$7&amp;" giorni",""),4,300)))</f>
        <v/>
      </c>
      <c r="G78" s="16" t="n"/>
      <c r="H78" s="11" t="n"/>
      <c r="I78" s="13" t="n"/>
      <c r="J78" s="17">
        <f>IF($I78="","",TODAY()-$I78)</f>
        <v/>
      </c>
      <c r="K78" s="17">
        <f>IF($C78="","",$C78-TODAY())</f>
        <v/>
      </c>
      <c r="L78" s="15">
        <f>IF($A78="","",N($D78)&amp;"/"&amp;IMPOSTAZIONI!$C$5)</f>
        <v/>
      </c>
      <c r="M78" s="15">
        <f>IF($S78="","",IF($S78="RECUPERA CON INCENTIVO",INCENTIVI!$C$7,IF($S78="RICHIAMO MANTENIMENTO",INCENTIVI!$C$6,IF(OR($S78="FUORI FINESTRA",$S78="ULTIMA SEDUTA"),INCENTIVI!$C$5,""))))</f>
        <v/>
      </c>
      <c r="N78" s="18" t="n"/>
      <c r="O78" s="19">
        <f>IF($A78="","",N($D78)*N($N78))</f>
        <v/>
      </c>
      <c r="P78" s="19">
        <f>IF($A78="","",MAX(0,(IMPOSTAZIONI!$C$5-N($D78))*N($N78)))</f>
        <v/>
      </c>
      <c r="Q78" s="13" t="n"/>
      <c r="R78" s="11" t="n"/>
      <c r="S78" s="15">
        <f>IF($A78="","",IF(AND($C78&lt;&gt;"",$C78&lt;TODAY(),OR($I78="",$I78&lt;$C78)),"APPUNTAMENTO SALTATO",IF(AND($C78&lt;&gt;"",$C78-TODAY()=1),"CONFERMA DOMANI",IF(AND($C78&lt;&gt;"",$C78-TODAY()=IMPOSTAZIONI!$C$8),"CHIAMA PER CONFERMA",IF(AND($C78&lt;&gt;"",$C78&gt;=TODAY()),"",IF($E78="Sospesa","",IF($E78="Persa","RECUPERA CON INCENTIVO",IF(AND($I78&lt;&gt;"",TODAY()&gt;=EDATE($I78,IMPOSTAZIONI!$C$10)),"RECUPERA CON INCENTIVO",IF($E78="Mantenimento",IF(AND($I78&lt;&gt;"",TODAY()-$I78&gt;=IMPOSTAZIONI!$C$9),"RICHIAMO MANTENIMENTO",""),IF($E78="In ciclo",IF(N($D78)&gt;=IMPOSTAZIONI!$C$5,"ULTIMA SEDUTA",IF(AND($I78&lt;&gt;"",TODAY()-$I78&gt;IMPOSTAZIONI!$C$7),"FUORI FINESTRA","PRENDI APPUNTAMENTO")),IF($E78="Da contattare","PRENDI APPUNTAMENTO","")))))))))))</f>
        <v/>
      </c>
      <c r="T78" s="17">
        <f>IF($S78="","",IFERROR(MATCH($S78,IMPOSTAZIONI!$F$5:$F$12,0),9)*100000000+(9999-MIN(9999,ROUND(N($O78)/100,0)))*10000+ROW())</f>
        <v/>
      </c>
    </row>
    <row r="79">
      <c r="A79" s="11" t="n"/>
      <c r="B79" s="12">
        <f>IF($S79="","",IFERROR(MATCH($S79,IMPOSTAZIONI!$F$5:$F$12,0),9)&amp;" · "&amp;$S79)</f>
        <v/>
      </c>
      <c r="C79" s="13" t="n"/>
      <c r="D79" s="14" t="n"/>
      <c r="E79" s="11" t="n"/>
      <c r="F79" s="15">
        <f>IF($A79="","",IF(LEN(IF(AND($C79&lt;&gt;"",$C79=TODAY())," · oggi in centro","")&amp;IF(AND($C79&lt;&gt;"",$C79&gt;=TODAY(),N($D79)+1&gt;=IMPOSTAZIONI!$C$5)," · ultima del ciclo, proponi il mantenimento","")&amp;IF(AND($C79&lt;&gt;"",$C79&gt;=TODAY(),$I79&lt;&gt;"",$C79-$I79&lt;IMPOSTAZIONI!$C$6)," · rientro anticipato, meno di "&amp;IMPOSTAZIONI!$C$6&amp;" giorni","")&amp;IF(AND($C79&lt;&gt;"",$C79&gt;=TODAY(),$I79&lt;&gt;"",$C79-$I79&gt;IMPOSTAZIONI!$C$7)," · rientro oltre "&amp;IMPOSTAZIONI!$C$7&amp;" giorni",""))=0,"",MID(IF(AND($C79&lt;&gt;"",$C79=TODAY())," · oggi in centro","")&amp;IF(AND($C79&lt;&gt;"",$C79&gt;=TODAY(),N($D79)+1&gt;=IMPOSTAZIONI!$C$5)," · ultima del ciclo, proponi il mantenimento","")&amp;IF(AND($C79&lt;&gt;"",$C79&gt;=TODAY(),$I79&lt;&gt;"",$C79-$I79&lt;IMPOSTAZIONI!$C$6)," · rientro anticipato, meno di "&amp;IMPOSTAZIONI!$C$6&amp;" giorni","")&amp;IF(AND($C79&lt;&gt;"",$C79&gt;=TODAY(),$I79&lt;&gt;"",$C79-$I79&gt;IMPOSTAZIONI!$C$7)," · rientro oltre "&amp;IMPOSTAZIONI!$C$7&amp;" giorni",""),4,300)))</f>
        <v/>
      </c>
      <c r="G79" s="16" t="n"/>
      <c r="H79" s="11" t="n"/>
      <c r="I79" s="13" t="n"/>
      <c r="J79" s="17">
        <f>IF($I79="","",TODAY()-$I79)</f>
        <v/>
      </c>
      <c r="K79" s="17">
        <f>IF($C79="","",$C79-TODAY())</f>
        <v/>
      </c>
      <c r="L79" s="15">
        <f>IF($A79="","",N($D79)&amp;"/"&amp;IMPOSTAZIONI!$C$5)</f>
        <v/>
      </c>
      <c r="M79" s="15">
        <f>IF($S79="","",IF($S79="RECUPERA CON INCENTIVO",INCENTIVI!$C$7,IF($S79="RICHIAMO MANTENIMENTO",INCENTIVI!$C$6,IF(OR($S79="FUORI FINESTRA",$S79="ULTIMA SEDUTA"),INCENTIVI!$C$5,""))))</f>
        <v/>
      </c>
      <c r="N79" s="18" t="n"/>
      <c r="O79" s="19">
        <f>IF($A79="","",N($D79)*N($N79))</f>
        <v/>
      </c>
      <c r="P79" s="19">
        <f>IF($A79="","",MAX(0,(IMPOSTAZIONI!$C$5-N($D79))*N($N79)))</f>
        <v/>
      </c>
      <c r="Q79" s="13" t="n"/>
      <c r="R79" s="11" t="n"/>
      <c r="S79" s="15">
        <f>IF($A79="","",IF(AND($C79&lt;&gt;"",$C79&lt;TODAY(),OR($I79="",$I79&lt;$C79)),"APPUNTAMENTO SALTATO",IF(AND($C79&lt;&gt;"",$C79-TODAY()=1),"CONFERMA DOMANI",IF(AND($C79&lt;&gt;"",$C79-TODAY()=IMPOSTAZIONI!$C$8),"CHIAMA PER CONFERMA",IF(AND($C79&lt;&gt;"",$C79&gt;=TODAY()),"",IF($E79="Sospesa","",IF($E79="Persa","RECUPERA CON INCENTIVO",IF(AND($I79&lt;&gt;"",TODAY()&gt;=EDATE($I79,IMPOSTAZIONI!$C$10)),"RECUPERA CON INCENTIVO",IF($E79="Mantenimento",IF(AND($I79&lt;&gt;"",TODAY()-$I79&gt;=IMPOSTAZIONI!$C$9),"RICHIAMO MANTENIMENTO",""),IF($E79="In ciclo",IF(N($D79)&gt;=IMPOSTAZIONI!$C$5,"ULTIMA SEDUTA",IF(AND($I79&lt;&gt;"",TODAY()-$I79&gt;IMPOSTAZIONI!$C$7),"FUORI FINESTRA","PRENDI APPUNTAMENTO")),IF($E79="Da contattare","PRENDI APPUNTAMENTO","")))))))))))</f>
        <v/>
      </c>
      <c r="T79" s="17">
        <f>IF($S79="","",IFERROR(MATCH($S79,IMPOSTAZIONI!$F$5:$F$12,0),9)*100000000+(9999-MIN(9999,ROUND(N($O79)/100,0)))*10000+ROW())</f>
        <v/>
      </c>
    </row>
    <row r="80">
      <c r="A80" s="11" t="n"/>
      <c r="B80" s="12">
        <f>IF($S80="","",IFERROR(MATCH($S80,IMPOSTAZIONI!$F$5:$F$12,0),9)&amp;" · "&amp;$S80)</f>
        <v/>
      </c>
      <c r="C80" s="13" t="n"/>
      <c r="D80" s="14" t="n"/>
      <c r="E80" s="11" t="n"/>
      <c r="F80" s="15">
        <f>IF($A80="","",IF(LEN(IF(AND($C80&lt;&gt;"",$C80=TODAY())," · oggi in centro","")&amp;IF(AND($C80&lt;&gt;"",$C80&gt;=TODAY(),N($D80)+1&gt;=IMPOSTAZIONI!$C$5)," · ultima del ciclo, proponi il mantenimento","")&amp;IF(AND($C80&lt;&gt;"",$C80&gt;=TODAY(),$I80&lt;&gt;"",$C80-$I80&lt;IMPOSTAZIONI!$C$6)," · rientro anticipato, meno di "&amp;IMPOSTAZIONI!$C$6&amp;" giorni","")&amp;IF(AND($C80&lt;&gt;"",$C80&gt;=TODAY(),$I80&lt;&gt;"",$C80-$I80&gt;IMPOSTAZIONI!$C$7)," · rientro oltre "&amp;IMPOSTAZIONI!$C$7&amp;" giorni",""))=0,"",MID(IF(AND($C80&lt;&gt;"",$C80=TODAY())," · oggi in centro","")&amp;IF(AND($C80&lt;&gt;"",$C80&gt;=TODAY(),N($D80)+1&gt;=IMPOSTAZIONI!$C$5)," · ultima del ciclo, proponi il mantenimento","")&amp;IF(AND($C80&lt;&gt;"",$C80&gt;=TODAY(),$I80&lt;&gt;"",$C80-$I80&lt;IMPOSTAZIONI!$C$6)," · rientro anticipato, meno di "&amp;IMPOSTAZIONI!$C$6&amp;" giorni","")&amp;IF(AND($C80&lt;&gt;"",$C80&gt;=TODAY(),$I80&lt;&gt;"",$C80-$I80&gt;IMPOSTAZIONI!$C$7)," · rientro oltre "&amp;IMPOSTAZIONI!$C$7&amp;" giorni",""),4,300)))</f>
        <v/>
      </c>
      <c r="G80" s="16" t="n"/>
      <c r="H80" s="11" t="n"/>
      <c r="I80" s="13" t="n"/>
      <c r="J80" s="17">
        <f>IF($I80="","",TODAY()-$I80)</f>
        <v/>
      </c>
      <c r="K80" s="17">
        <f>IF($C80="","",$C80-TODAY())</f>
        <v/>
      </c>
      <c r="L80" s="15">
        <f>IF($A80="","",N($D80)&amp;"/"&amp;IMPOSTAZIONI!$C$5)</f>
        <v/>
      </c>
      <c r="M80" s="15">
        <f>IF($S80="","",IF($S80="RECUPERA CON INCENTIVO",INCENTIVI!$C$7,IF($S80="RICHIAMO MANTENIMENTO",INCENTIVI!$C$6,IF(OR($S80="FUORI FINESTRA",$S80="ULTIMA SEDUTA"),INCENTIVI!$C$5,""))))</f>
        <v/>
      </c>
      <c r="N80" s="18" t="n"/>
      <c r="O80" s="19">
        <f>IF($A80="","",N($D80)*N($N80))</f>
        <v/>
      </c>
      <c r="P80" s="19">
        <f>IF($A80="","",MAX(0,(IMPOSTAZIONI!$C$5-N($D80))*N($N80)))</f>
        <v/>
      </c>
      <c r="Q80" s="13" t="n"/>
      <c r="R80" s="11" t="n"/>
      <c r="S80" s="15">
        <f>IF($A80="","",IF(AND($C80&lt;&gt;"",$C80&lt;TODAY(),OR($I80="",$I80&lt;$C80)),"APPUNTAMENTO SALTATO",IF(AND($C80&lt;&gt;"",$C80-TODAY()=1),"CONFERMA DOMANI",IF(AND($C80&lt;&gt;"",$C80-TODAY()=IMPOSTAZIONI!$C$8),"CHIAMA PER CONFERMA",IF(AND($C80&lt;&gt;"",$C80&gt;=TODAY()),"",IF($E80="Sospesa","",IF($E80="Persa","RECUPERA CON INCENTIVO",IF(AND($I80&lt;&gt;"",TODAY()&gt;=EDATE($I80,IMPOSTAZIONI!$C$10)),"RECUPERA CON INCENTIVO",IF($E80="Mantenimento",IF(AND($I80&lt;&gt;"",TODAY()-$I80&gt;=IMPOSTAZIONI!$C$9),"RICHIAMO MANTENIMENTO",""),IF($E80="In ciclo",IF(N($D80)&gt;=IMPOSTAZIONI!$C$5,"ULTIMA SEDUTA",IF(AND($I80&lt;&gt;"",TODAY()-$I80&gt;IMPOSTAZIONI!$C$7),"FUORI FINESTRA","PRENDI APPUNTAMENTO")),IF($E80="Da contattare","PRENDI APPUNTAMENTO","")))))))))))</f>
        <v/>
      </c>
      <c r="T80" s="17">
        <f>IF($S80="","",IFERROR(MATCH($S80,IMPOSTAZIONI!$F$5:$F$12,0),9)*100000000+(9999-MIN(9999,ROUND(N($O80)/100,0)))*10000+ROW())</f>
        <v/>
      </c>
    </row>
    <row r="81">
      <c r="A81" s="11" t="n"/>
      <c r="B81" s="12">
        <f>IF($S81="","",IFERROR(MATCH($S81,IMPOSTAZIONI!$F$5:$F$12,0),9)&amp;" · "&amp;$S81)</f>
        <v/>
      </c>
      <c r="C81" s="13" t="n"/>
      <c r="D81" s="14" t="n"/>
      <c r="E81" s="11" t="n"/>
      <c r="F81" s="15">
        <f>IF($A81="","",IF(LEN(IF(AND($C81&lt;&gt;"",$C81=TODAY())," · oggi in centro","")&amp;IF(AND($C81&lt;&gt;"",$C81&gt;=TODAY(),N($D81)+1&gt;=IMPOSTAZIONI!$C$5)," · ultima del ciclo, proponi il mantenimento","")&amp;IF(AND($C81&lt;&gt;"",$C81&gt;=TODAY(),$I81&lt;&gt;"",$C81-$I81&lt;IMPOSTAZIONI!$C$6)," · rientro anticipato, meno di "&amp;IMPOSTAZIONI!$C$6&amp;" giorni","")&amp;IF(AND($C81&lt;&gt;"",$C81&gt;=TODAY(),$I81&lt;&gt;"",$C81-$I81&gt;IMPOSTAZIONI!$C$7)," · rientro oltre "&amp;IMPOSTAZIONI!$C$7&amp;" giorni",""))=0,"",MID(IF(AND($C81&lt;&gt;"",$C81=TODAY())," · oggi in centro","")&amp;IF(AND($C81&lt;&gt;"",$C81&gt;=TODAY(),N($D81)+1&gt;=IMPOSTAZIONI!$C$5)," · ultima del ciclo, proponi il mantenimento","")&amp;IF(AND($C81&lt;&gt;"",$C81&gt;=TODAY(),$I81&lt;&gt;"",$C81-$I81&lt;IMPOSTAZIONI!$C$6)," · rientro anticipato, meno di "&amp;IMPOSTAZIONI!$C$6&amp;" giorni","")&amp;IF(AND($C81&lt;&gt;"",$C81&gt;=TODAY(),$I81&lt;&gt;"",$C81-$I81&gt;IMPOSTAZIONI!$C$7)," · rientro oltre "&amp;IMPOSTAZIONI!$C$7&amp;" giorni",""),4,300)))</f>
        <v/>
      </c>
      <c r="G81" s="16" t="n"/>
      <c r="H81" s="11" t="n"/>
      <c r="I81" s="13" t="n"/>
      <c r="J81" s="17">
        <f>IF($I81="","",TODAY()-$I81)</f>
        <v/>
      </c>
      <c r="K81" s="17">
        <f>IF($C81="","",$C81-TODAY())</f>
        <v/>
      </c>
      <c r="L81" s="15">
        <f>IF($A81="","",N($D81)&amp;"/"&amp;IMPOSTAZIONI!$C$5)</f>
        <v/>
      </c>
      <c r="M81" s="15">
        <f>IF($S81="","",IF($S81="RECUPERA CON INCENTIVO",INCENTIVI!$C$7,IF($S81="RICHIAMO MANTENIMENTO",INCENTIVI!$C$6,IF(OR($S81="FUORI FINESTRA",$S81="ULTIMA SEDUTA"),INCENTIVI!$C$5,""))))</f>
        <v/>
      </c>
      <c r="N81" s="18" t="n"/>
      <c r="O81" s="19">
        <f>IF($A81="","",N($D81)*N($N81))</f>
        <v/>
      </c>
      <c r="P81" s="19">
        <f>IF($A81="","",MAX(0,(IMPOSTAZIONI!$C$5-N($D81))*N($N81)))</f>
        <v/>
      </c>
      <c r="Q81" s="13" t="n"/>
      <c r="R81" s="11" t="n"/>
      <c r="S81" s="15">
        <f>IF($A81="","",IF(AND($C81&lt;&gt;"",$C81&lt;TODAY(),OR($I81="",$I81&lt;$C81)),"APPUNTAMENTO SALTATO",IF(AND($C81&lt;&gt;"",$C81-TODAY()=1),"CONFERMA DOMANI",IF(AND($C81&lt;&gt;"",$C81-TODAY()=IMPOSTAZIONI!$C$8),"CHIAMA PER CONFERMA",IF(AND($C81&lt;&gt;"",$C81&gt;=TODAY()),"",IF($E81="Sospesa","",IF($E81="Persa","RECUPERA CON INCENTIVO",IF(AND($I81&lt;&gt;"",TODAY()&gt;=EDATE($I81,IMPOSTAZIONI!$C$10)),"RECUPERA CON INCENTIVO",IF($E81="Mantenimento",IF(AND($I81&lt;&gt;"",TODAY()-$I81&gt;=IMPOSTAZIONI!$C$9),"RICHIAMO MANTENIMENTO",""),IF($E81="In ciclo",IF(N($D81)&gt;=IMPOSTAZIONI!$C$5,"ULTIMA SEDUTA",IF(AND($I81&lt;&gt;"",TODAY()-$I81&gt;IMPOSTAZIONI!$C$7),"FUORI FINESTRA","PRENDI APPUNTAMENTO")),IF($E81="Da contattare","PRENDI APPUNTAMENTO","")))))))))))</f>
        <v/>
      </c>
      <c r="T81" s="17">
        <f>IF($S81="","",IFERROR(MATCH($S81,IMPOSTAZIONI!$F$5:$F$12,0),9)*100000000+(9999-MIN(9999,ROUND(N($O81)/100,0)))*10000+ROW())</f>
        <v/>
      </c>
    </row>
    <row r="82">
      <c r="A82" s="11" t="n"/>
      <c r="B82" s="12">
        <f>IF($S82="","",IFERROR(MATCH($S82,IMPOSTAZIONI!$F$5:$F$12,0),9)&amp;" · "&amp;$S82)</f>
        <v/>
      </c>
      <c r="C82" s="13" t="n"/>
      <c r="D82" s="14" t="n"/>
      <c r="E82" s="11" t="n"/>
      <c r="F82" s="15">
        <f>IF($A82="","",IF(LEN(IF(AND($C82&lt;&gt;"",$C82=TODAY())," · oggi in centro","")&amp;IF(AND($C82&lt;&gt;"",$C82&gt;=TODAY(),N($D82)+1&gt;=IMPOSTAZIONI!$C$5)," · ultima del ciclo, proponi il mantenimento","")&amp;IF(AND($C82&lt;&gt;"",$C82&gt;=TODAY(),$I82&lt;&gt;"",$C82-$I82&lt;IMPOSTAZIONI!$C$6)," · rientro anticipato, meno di "&amp;IMPOSTAZIONI!$C$6&amp;" giorni","")&amp;IF(AND($C82&lt;&gt;"",$C82&gt;=TODAY(),$I82&lt;&gt;"",$C82-$I82&gt;IMPOSTAZIONI!$C$7)," · rientro oltre "&amp;IMPOSTAZIONI!$C$7&amp;" giorni",""))=0,"",MID(IF(AND($C82&lt;&gt;"",$C82=TODAY())," · oggi in centro","")&amp;IF(AND($C82&lt;&gt;"",$C82&gt;=TODAY(),N($D82)+1&gt;=IMPOSTAZIONI!$C$5)," · ultima del ciclo, proponi il mantenimento","")&amp;IF(AND($C82&lt;&gt;"",$C82&gt;=TODAY(),$I82&lt;&gt;"",$C82-$I82&lt;IMPOSTAZIONI!$C$6)," · rientro anticipato, meno di "&amp;IMPOSTAZIONI!$C$6&amp;" giorni","")&amp;IF(AND($C82&lt;&gt;"",$C82&gt;=TODAY(),$I82&lt;&gt;"",$C82-$I82&gt;IMPOSTAZIONI!$C$7)," · rientro oltre "&amp;IMPOSTAZIONI!$C$7&amp;" giorni",""),4,300)))</f>
        <v/>
      </c>
      <c r="G82" s="16" t="n"/>
      <c r="H82" s="11" t="n"/>
      <c r="I82" s="13" t="n"/>
      <c r="J82" s="17">
        <f>IF($I82="","",TODAY()-$I82)</f>
        <v/>
      </c>
      <c r="K82" s="17">
        <f>IF($C82="","",$C82-TODAY())</f>
        <v/>
      </c>
      <c r="L82" s="15">
        <f>IF($A82="","",N($D82)&amp;"/"&amp;IMPOSTAZIONI!$C$5)</f>
        <v/>
      </c>
      <c r="M82" s="15">
        <f>IF($S82="","",IF($S82="RECUPERA CON INCENTIVO",INCENTIVI!$C$7,IF($S82="RICHIAMO MANTENIMENTO",INCENTIVI!$C$6,IF(OR($S82="FUORI FINESTRA",$S82="ULTIMA SEDUTA"),INCENTIVI!$C$5,""))))</f>
        <v/>
      </c>
      <c r="N82" s="18" t="n"/>
      <c r="O82" s="19">
        <f>IF($A82="","",N($D82)*N($N82))</f>
        <v/>
      </c>
      <c r="P82" s="19">
        <f>IF($A82="","",MAX(0,(IMPOSTAZIONI!$C$5-N($D82))*N($N82)))</f>
        <v/>
      </c>
      <c r="Q82" s="13" t="n"/>
      <c r="R82" s="11" t="n"/>
      <c r="S82" s="15">
        <f>IF($A82="","",IF(AND($C82&lt;&gt;"",$C82&lt;TODAY(),OR($I82="",$I82&lt;$C82)),"APPUNTAMENTO SALTATO",IF(AND($C82&lt;&gt;"",$C82-TODAY()=1),"CONFERMA DOMANI",IF(AND($C82&lt;&gt;"",$C82-TODAY()=IMPOSTAZIONI!$C$8),"CHIAMA PER CONFERMA",IF(AND($C82&lt;&gt;"",$C82&gt;=TODAY()),"",IF($E82="Sospesa","",IF($E82="Persa","RECUPERA CON INCENTIVO",IF(AND($I82&lt;&gt;"",TODAY()&gt;=EDATE($I82,IMPOSTAZIONI!$C$10)),"RECUPERA CON INCENTIVO",IF($E82="Mantenimento",IF(AND($I82&lt;&gt;"",TODAY()-$I82&gt;=IMPOSTAZIONI!$C$9),"RICHIAMO MANTENIMENTO",""),IF($E82="In ciclo",IF(N($D82)&gt;=IMPOSTAZIONI!$C$5,"ULTIMA SEDUTA",IF(AND($I82&lt;&gt;"",TODAY()-$I82&gt;IMPOSTAZIONI!$C$7),"FUORI FINESTRA","PRENDI APPUNTAMENTO")),IF($E82="Da contattare","PRENDI APPUNTAMENTO","")))))))))))</f>
        <v/>
      </c>
      <c r="T82" s="17">
        <f>IF($S82="","",IFERROR(MATCH($S82,IMPOSTAZIONI!$F$5:$F$12,0),9)*100000000+(9999-MIN(9999,ROUND(N($O82)/100,0)))*10000+ROW())</f>
        <v/>
      </c>
    </row>
    <row r="83">
      <c r="A83" s="11" t="n"/>
      <c r="B83" s="12">
        <f>IF($S83="","",IFERROR(MATCH($S83,IMPOSTAZIONI!$F$5:$F$12,0),9)&amp;" · "&amp;$S83)</f>
        <v/>
      </c>
      <c r="C83" s="13" t="n"/>
      <c r="D83" s="14" t="n"/>
      <c r="E83" s="11" t="n"/>
      <c r="F83" s="15">
        <f>IF($A83="","",IF(LEN(IF(AND($C83&lt;&gt;"",$C83=TODAY())," · oggi in centro","")&amp;IF(AND($C83&lt;&gt;"",$C83&gt;=TODAY(),N($D83)+1&gt;=IMPOSTAZIONI!$C$5)," · ultima del ciclo, proponi il mantenimento","")&amp;IF(AND($C83&lt;&gt;"",$C83&gt;=TODAY(),$I83&lt;&gt;"",$C83-$I83&lt;IMPOSTAZIONI!$C$6)," · rientro anticipato, meno di "&amp;IMPOSTAZIONI!$C$6&amp;" giorni","")&amp;IF(AND($C83&lt;&gt;"",$C83&gt;=TODAY(),$I83&lt;&gt;"",$C83-$I83&gt;IMPOSTAZIONI!$C$7)," · rientro oltre "&amp;IMPOSTAZIONI!$C$7&amp;" giorni",""))=0,"",MID(IF(AND($C83&lt;&gt;"",$C83=TODAY())," · oggi in centro","")&amp;IF(AND($C83&lt;&gt;"",$C83&gt;=TODAY(),N($D83)+1&gt;=IMPOSTAZIONI!$C$5)," · ultima del ciclo, proponi il mantenimento","")&amp;IF(AND($C83&lt;&gt;"",$C83&gt;=TODAY(),$I83&lt;&gt;"",$C83-$I83&lt;IMPOSTAZIONI!$C$6)," · rientro anticipato, meno di "&amp;IMPOSTAZIONI!$C$6&amp;" giorni","")&amp;IF(AND($C83&lt;&gt;"",$C83&gt;=TODAY(),$I83&lt;&gt;"",$C83-$I83&gt;IMPOSTAZIONI!$C$7)," · rientro oltre "&amp;IMPOSTAZIONI!$C$7&amp;" giorni",""),4,300)))</f>
        <v/>
      </c>
      <c r="G83" s="16" t="n"/>
      <c r="H83" s="11" t="n"/>
      <c r="I83" s="13" t="n"/>
      <c r="J83" s="17">
        <f>IF($I83="","",TODAY()-$I83)</f>
        <v/>
      </c>
      <c r="K83" s="17">
        <f>IF($C83="","",$C83-TODAY())</f>
        <v/>
      </c>
      <c r="L83" s="15">
        <f>IF($A83="","",N($D83)&amp;"/"&amp;IMPOSTAZIONI!$C$5)</f>
        <v/>
      </c>
      <c r="M83" s="15">
        <f>IF($S83="","",IF($S83="RECUPERA CON INCENTIVO",INCENTIVI!$C$7,IF($S83="RICHIAMO MANTENIMENTO",INCENTIVI!$C$6,IF(OR($S83="FUORI FINESTRA",$S83="ULTIMA SEDUTA"),INCENTIVI!$C$5,""))))</f>
        <v/>
      </c>
      <c r="N83" s="18" t="n"/>
      <c r="O83" s="19">
        <f>IF($A83="","",N($D83)*N($N83))</f>
        <v/>
      </c>
      <c r="P83" s="19">
        <f>IF($A83="","",MAX(0,(IMPOSTAZIONI!$C$5-N($D83))*N($N83)))</f>
        <v/>
      </c>
      <c r="Q83" s="13" t="n"/>
      <c r="R83" s="11" t="n"/>
      <c r="S83" s="15">
        <f>IF($A83="","",IF(AND($C83&lt;&gt;"",$C83&lt;TODAY(),OR($I83="",$I83&lt;$C83)),"APPUNTAMENTO SALTATO",IF(AND($C83&lt;&gt;"",$C83-TODAY()=1),"CONFERMA DOMANI",IF(AND($C83&lt;&gt;"",$C83-TODAY()=IMPOSTAZIONI!$C$8),"CHIAMA PER CONFERMA",IF(AND($C83&lt;&gt;"",$C83&gt;=TODAY()),"",IF($E83="Sospesa","",IF($E83="Persa","RECUPERA CON INCENTIVO",IF(AND($I83&lt;&gt;"",TODAY()&gt;=EDATE($I83,IMPOSTAZIONI!$C$10)),"RECUPERA CON INCENTIVO",IF($E83="Mantenimento",IF(AND($I83&lt;&gt;"",TODAY()-$I83&gt;=IMPOSTAZIONI!$C$9),"RICHIAMO MANTENIMENTO",""),IF($E83="In ciclo",IF(N($D83)&gt;=IMPOSTAZIONI!$C$5,"ULTIMA SEDUTA",IF(AND($I83&lt;&gt;"",TODAY()-$I83&gt;IMPOSTAZIONI!$C$7),"FUORI FINESTRA","PRENDI APPUNTAMENTO")),IF($E83="Da contattare","PRENDI APPUNTAMENTO","")))))))))))</f>
        <v/>
      </c>
      <c r="T83" s="17">
        <f>IF($S83="","",IFERROR(MATCH($S83,IMPOSTAZIONI!$F$5:$F$12,0),9)*100000000+(9999-MIN(9999,ROUND(N($O83)/100,0)))*10000+ROW())</f>
        <v/>
      </c>
    </row>
    <row r="84">
      <c r="A84" s="11" t="n"/>
      <c r="B84" s="12">
        <f>IF($S84="","",IFERROR(MATCH($S84,IMPOSTAZIONI!$F$5:$F$12,0),9)&amp;" · "&amp;$S84)</f>
        <v/>
      </c>
      <c r="C84" s="13" t="n"/>
      <c r="D84" s="14" t="n"/>
      <c r="E84" s="11" t="n"/>
      <c r="F84" s="15">
        <f>IF($A84="","",IF(LEN(IF(AND($C84&lt;&gt;"",$C84=TODAY())," · oggi in centro","")&amp;IF(AND($C84&lt;&gt;"",$C84&gt;=TODAY(),N($D84)+1&gt;=IMPOSTAZIONI!$C$5)," · ultima del ciclo, proponi il mantenimento","")&amp;IF(AND($C84&lt;&gt;"",$C84&gt;=TODAY(),$I84&lt;&gt;"",$C84-$I84&lt;IMPOSTAZIONI!$C$6)," · rientro anticipato, meno di "&amp;IMPOSTAZIONI!$C$6&amp;" giorni","")&amp;IF(AND($C84&lt;&gt;"",$C84&gt;=TODAY(),$I84&lt;&gt;"",$C84-$I84&gt;IMPOSTAZIONI!$C$7)," · rientro oltre "&amp;IMPOSTAZIONI!$C$7&amp;" giorni",""))=0,"",MID(IF(AND($C84&lt;&gt;"",$C84=TODAY())," · oggi in centro","")&amp;IF(AND($C84&lt;&gt;"",$C84&gt;=TODAY(),N($D84)+1&gt;=IMPOSTAZIONI!$C$5)," · ultima del ciclo, proponi il mantenimento","")&amp;IF(AND($C84&lt;&gt;"",$C84&gt;=TODAY(),$I84&lt;&gt;"",$C84-$I84&lt;IMPOSTAZIONI!$C$6)," · rientro anticipato, meno di "&amp;IMPOSTAZIONI!$C$6&amp;" giorni","")&amp;IF(AND($C84&lt;&gt;"",$C84&gt;=TODAY(),$I84&lt;&gt;"",$C84-$I84&gt;IMPOSTAZIONI!$C$7)," · rientro oltre "&amp;IMPOSTAZIONI!$C$7&amp;" giorni",""),4,300)))</f>
        <v/>
      </c>
      <c r="G84" s="16" t="n"/>
      <c r="H84" s="11" t="n"/>
      <c r="I84" s="13" t="n"/>
      <c r="J84" s="17">
        <f>IF($I84="","",TODAY()-$I84)</f>
        <v/>
      </c>
      <c r="K84" s="17">
        <f>IF($C84="","",$C84-TODAY())</f>
        <v/>
      </c>
      <c r="L84" s="15">
        <f>IF($A84="","",N($D84)&amp;"/"&amp;IMPOSTAZIONI!$C$5)</f>
        <v/>
      </c>
      <c r="M84" s="15">
        <f>IF($S84="","",IF($S84="RECUPERA CON INCENTIVO",INCENTIVI!$C$7,IF($S84="RICHIAMO MANTENIMENTO",INCENTIVI!$C$6,IF(OR($S84="FUORI FINESTRA",$S84="ULTIMA SEDUTA"),INCENTIVI!$C$5,""))))</f>
        <v/>
      </c>
      <c r="N84" s="18" t="n"/>
      <c r="O84" s="19">
        <f>IF($A84="","",N($D84)*N($N84))</f>
        <v/>
      </c>
      <c r="P84" s="19">
        <f>IF($A84="","",MAX(0,(IMPOSTAZIONI!$C$5-N($D84))*N($N84)))</f>
        <v/>
      </c>
      <c r="Q84" s="13" t="n"/>
      <c r="R84" s="11" t="n"/>
      <c r="S84" s="15">
        <f>IF($A84="","",IF(AND($C84&lt;&gt;"",$C84&lt;TODAY(),OR($I84="",$I84&lt;$C84)),"APPUNTAMENTO SALTATO",IF(AND($C84&lt;&gt;"",$C84-TODAY()=1),"CONFERMA DOMANI",IF(AND($C84&lt;&gt;"",$C84-TODAY()=IMPOSTAZIONI!$C$8),"CHIAMA PER CONFERMA",IF(AND($C84&lt;&gt;"",$C84&gt;=TODAY()),"",IF($E84="Sospesa","",IF($E84="Persa","RECUPERA CON INCENTIVO",IF(AND($I84&lt;&gt;"",TODAY()&gt;=EDATE($I84,IMPOSTAZIONI!$C$10)),"RECUPERA CON INCENTIVO",IF($E84="Mantenimento",IF(AND($I84&lt;&gt;"",TODAY()-$I84&gt;=IMPOSTAZIONI!$C$9),"RICHIAMO MANTENIMENTO",""),IF($E84="In ciclo",IF(N($D84)&gt;=IMPOSTAZIONI!$C$5,"ULTIMA SEDUTA",IF(AND($I84&lt;&gt;"",TODAY()-$I84&gt;IMPOSTAZIONI!$C$7),"FUORI FINESTRA","PRENDI APPUNTAMENTO")),IF($E84="Da contattare","PRENDI APPUNTAMENTO","")))))))))))</f>
        <v/>
      </c>
      <c r="T84" s="17">
        <f>IF($S84="","",IFERROR(MATCH($S84,IMPOSTAZIONI!$F$5:$F$12,0),9)*100000000+(9999-MIN(9999,ROUND(N($O84)/100,0)))*10000+ROW())</f>
        <v/>
      </c>
    </row>
    <row r="85">
      <c r="A85" s="11" t="n"/>
      <c r="B85" s="12">
        <f>IF($S85="","",IFERROR(MATCH($S85,IMPOSTAZIONI!$F$5:$F$12,0),9)&amp;" · "&amp;$S85)</f>
        <v/>
      </c>
      <c r="C85" s="13" t="n"/>
      <c r="D85" s="14" t="n"/>
      <c r="E85" s="11" t="n"/>
      <c r="F85" s="15">
        <f>IF($A85="","",IF(LEN(IF(AND($C85&lt;&gt;"",$C85=TODAY())," · oggi in centro","")&amp;IF(AND($C85&lt;&gt;"",$C85&gt;=TODAY(),N($D85)+1&gt;=IMPOSTAZIONI!$C$5)," · ultima del ciclo, proponi il mantenimento","")&amp;IF(AND($C85&lt;&gt;"",$C85&gt;=TODAY(),$I85&lt;&gt;"",$C85-$I85&lt;IMPOSTAZIONI!$C$6)," · rientro anticipato, meno di "&amp;IMPOSTAZIONI!$C$6&amp;" giorni","")&amp;IF(AND($C85&lt;&gt;"",$C85&gt;=TODAY(),$I85&lt;&gt;"",$C85-$I85&gt;IMPOSTAZIONI!$C$7)," · rientro oltre "&amp;IMPOSTAZIONI!$C$7&amp;" giorni",""))=0,"",MID(IF(AND($C85&lt;&gt;"",$C85=TODAY())," · oggi in centro","")&amp;IF(AND($C85&lt;&gt;"",$C85&gt;=TODAY(),N($D85)+1&gt;=IMPOSTAZIONI!$C$5)," · ultima del ciclo, proponi il mantenimento","")&amp;IF(AND($C85&lt;&gt;"",$C85&gt;=TODAY(),$I85&lt;&gt;"",$C85-$I85&lt;IMPOSTAZIONI!$C$6)," · rientro anticipato, meno di "&amp;IMPOSTAZIONI!$C$6&amp;" giorni","")&amp;IF(AND($C85&lt;&gt;"",$C85&gt;=TODAY(),$I85&lt;&gt;"",$C85-$I85&gt;IMPOSTAZIONI!$C$7)," · rientro oltre "&amp;IMPOSTAZIONI!$C$7&amp;" giorni",""),4,300)))</f>
        <v/>
      </c>
      <c r="G85" s="16" t="n"/>
      <c r="H85" s="11" t="n"/>
      <c r="I85" s="13" t="n"/>
      <c r="J85" s="17">
        <f>IF($I85="","",TODAY()-$I85)</f>
        <v/>
      </c>
      <c r="K85" s="17">
        <f>IF($C85="","",$C85-TODAY())</f>
        <v/>
      </c>
      <c r="L85" s="15">
        <f>IF($A85="","",N($D85)&amp;"/"&amp;IMPOSTAZIONI!$C$5)</f>
        <v/>
      </c>
      <c r="M85" s="15">
        <f>IF($S85="","",IF($S85="RECUPERA CON INCENTIVO",INCENTIVI!$C$7,IF($S85="RICHIAMO MANTENIMENTO",INCENTIVI!$C$6,IF(OR($S85="FUORI FINESTRA",$S85="ULTIMA SEDUTA"),INCENTIVI!$C$5,""))))</f>
        <v/>
      </c>
      <c r="N85" s="18" t="n"/>
      <c r="O85" s="19">
        <f>IF($A85="","",N($D85)*N($N85))</f>
        <v/>
      </c>
      <c r="P85" s="19">
        <f>IF($A85="","",MAX(0,(IMPOSTAZIONI!$C$5-N($D85))*N($N85)))</f>
        <v/>
      </c>
      <c r="Q85" s="13" t="n"/>
      <c r="R85" s="11" t="n"/>
      <c r="S85" s="15">
        <f>IF($A85="","",IF(AND($C85&lt;&gt;"",$C85&lt;TODAY(),OR($I85="",$I85&lt;$C85)),"APPUNTAMENTO SALTATO",IF(AND($C85&lt;&gt;"",$C85-TODAY()=1),"CONFERMA DOMANI",IF(AND($C85&lt;&gt;"",$C85-TODAY()=IMPOSTAZIONI!$C$8),"CHIAMA PER CONFERMA",IF(AND($C85&lt;&gt;"",$C85&gt;=TODAY()),"",IF($E85="Sospesa","",IF($E85="Persa","RECUPERA CON INCENTIVO",IF(AND($I85&lt;&gt;"",TODAY()&gt;=EDATE($I85,IMPOSTAZIONI!$C$10)),"RECUPERA CON INCENTIVO",IF($E85="Mantenimento",IF(AND($I85&lt;&gt;"",TODAY()-$I85&gt;=IMPOSTAZIONI!$C$9),"RICHIAMO MANTENIMENTO",""),IF($E85="In ciclo",IF(N($D85)&gt;=IMPOSTAZIONI!$C$5,"ULTIMA SEDUTA",IF(AND($I85&lt;&gt;"",TODAY()-$I85&gt;IMPOSTAZIONI!$C$7),"FUORI FINESTRA","PRENDI APPUNTAMENTO")),IF($E85="Da contattare","PRENDI APPUNTAMENTO","")))))))))))</f>
        <v/>
      </c>
      <c r="T85" s="17">
        <f>IF($S85="","",IFERROR(MATCH($S85,IMPOSTAZIONI!$F$5:$F$12,0),9)*100000000+(9999-MIN(9999,ROUND(N($O85)/100,0)))*10000+ROW())</f>
        <v/>
      </c>
    </row>
    <row r="86">
      <c r="A86" s="11" t="n"/>
      <c r="B86" s="12">
        <f>IF($S86="","",IFERROR(MATCH($S86,IMPOSTAZIONI!$F$5:$F$12,0),9)&amp;" · "&amp;$S86)</f>
        <v/>
      </c>
      <c r="C86" s="13" t="n"/>
      <c r="D86" s="14" t="n"/>
      <c r="E86" s="11" t="n"/>
      <c r="F86" s="15">
        <f>IF($A86="","",IF(LEN(IF(AND($C86&lt;&gt;"",$C86=TODAY())," · oggi in centro","")&amp;IF(AND($C86&lt;&gt;"",$C86&gt;=TODAY(),N($D86)+1&gt;=IMPOSTAZIONI!$C$5)," · ultima del ciclo, proponi il mantenimento","")&amp;IF(AND($C86&lt;&gt;"",$C86&gt;=TODAY(),$I86&lt;&gt;"",$C86-$I86&lt;IMPOSTAZIONI!$C$6)," · rientro anticipato, meno di "&amp;IMPOSTAZIONI!$C$6&amp;" giorni","")&amp;IF(AND($C86&lt;&gt;"",$C86&gt;=TODAY(),$I86&lt;&gt;"",$C86-$I86&gt;IMPOSTAZIONI!$C$7)," · rientro oltre "&amp;IMPOSTAZIONI!$C$7&amp;" giorni",""))=0,"",MID(IF(AND($C86&lt;&gt;"",$C86=TODAY())," · oggi in centro","")&amp;IF(AND($C86&lt;&gt;"",$C86&gt;=TODAY(),N($D86)+1&gt;=IMPOSTAZIONI!$C$5)," · ultima del ciclo, proponi il mantenimento","")&amp;IF(AND($C86&lt;&gt;"",$C86&gt;=TODAY(),$I86&lt;&gt;"",$C86-$I86&lt;IMPOSTAZIONI!$C$6)," · rientro anticipato, meno di "&amp;IMPOSTAZIONI!$C$6&amp;" giorni","")&amp;IF(AND($C86&lt;&gt;"",$C86&gt;=TODAY(),$I86&lt;&gt;"",$C86-$I86&gt;IMPOSTAZIONI!$C$7)," · rientro oltre "&amp;IMPOSTAZIONI!$C$7&amp;" giorni",""),4,300)))</f>
        <v/>
      </c>
      <c r="G86" s="16" t="n"/>
      <c r="H86" s="11" t="n"/>
      <c r="I86" s="13" t="n"/>
      <c r="J86" s="17">
        <f>IF($I86="","",TODAY()-$I86)</f>
        <v/>
      </c>
      <c r="K86" s="17">
        <f>IF($C86="","",$C86-TODAY())</f>
        <v/>
      </c>
      <c r="L86" s="15">
        <f>IF($A86="","",N($D86)&amp;"/"&amp;IMPOSTAZIONI!$C$5)</f>
        <v/>
      </c>
      <c r="M86" s="15">
        <f>IF($S86="","",IF($S86="RECUPERA CON INCENTIVO",INCENTIVI!$C$7,IF($S86="RICHIAMO MANTENIMENTO",INCENTIVI!$C$6,IF(OR($S86="FUORI FINESTRA",$S86="ULTIMA SEDUTA"),INCENTIVI!$C$5,""))))</f>
        <v/>
      </c>
      <c r="N86" s="18" t="n"/>
      <c r="O86" s="19">
        <f>IF($A86="","",N($D86)*N($N86))</f>
        <v/>
      </c>
      <c r="P86" s="19">
        <f>IF($A86="","",MAX(0,(IMPOSTAZIONI!$C$5-N($D86))*N($N86)))</f>
        <v/>
      </c>
      <c r="Q86" s="13" t="n"/>
      <c r="R86" s="11" t="n"/>
      <c r="S86" s="15">
        <f>IF($A86="","",IF(AND($C86&lt;&gt;"",$C86&lt;TODAY(),OR($I86="",$I86&lt;$C86)),"APPUNTAMENTO SALTATO",IF(AND($C86&lt;&gt;"",$C86-TODAY()=1),"CONFERMA DOMANI",IF(AND($C86&lt;&gt;"",$C86-TODAY()=IMPOSTAZIONI!$C$8),"CHIAMA PER CONFERMA",IF(AND($C86&lt;&gt;"",$C86&gt;=TODAY()),"",IF($E86="Sospesa","",IF($E86="Persa","RECUPERA CON INCENTIVO",IF(AND($I86&lt;&gt;"",TODAY()&gt;=EDATE($I86,IMPOSTAZIONI!$C$10)),"RECUPERA CON INCENTIVO",IF($E86="Mantenimento",IF(AND($I86&lt;&gt;"",TODAY()-$I86&gt;=IMPOSTAZIONI!$C$9),"RICHIAMO MANTENIMENTO",""),IF($E86="In ciclo",IF(N($D86)&gt;=IMPOSTAZIONI!$C$5,"ULTIMA SEDUTA",IF(AND($I86&lt;&gt;"",TODAY()-$I86&gt;IMPOSTAZIONI!$C$7),"FUORI FINESTRA","PRENDI APPUNTAMENTO")),IF($E86="Da contattare","PRENDI APPUNTAMENTO","")))))))))))</f>
        <v/>
      </c>
      <c r="T86" s="17">
        <f>IF($S86="","",IFERROR(MATCH($S86,IMPOSTAZIONI!$F$5:$F$12,0),9)*100000000+(9999-MIN(9999,ROUND(N($O86)/100,0)))*10000+ROW())</f>
        <v/>
      </c>
    </row>
    <row r="87">
      <c r="A87" s="11" t="n"/>
      <c r="B87" s="12">
        <f>IF($S87="","",IFERROR(MATCH($S87,IMPOSTAZIONI!$F$5:$F$12,0),9)&amp;" · "&amp;$S87)</f>
        <v/>
      </c>
      <c r="C87" s="13" t="n"/>
      <c r="D87" s="14" t="n"/>
      <c r="E87" s="11" t="n"/>
      <c r="F87" s="15">
        <f>IF($A87="","",IF(LEN(IF(AND($C87&lt;&gt;"",$C87=TODAY())," · oggi in centro","")&amp;IF(AND($C87&lt;&gt;"",$C87&gt;=TODAY(),N($D87)+1&gt;=IMPOSTAZIONI!$C$5)," · ultima del ciclo, proponi il mantenimento","")&amp;IF(AND($C87&lt;&gt;"",$C87&gt;=TODAY(),$I87&lt;&gt;"",$C87-$I87&lt;IMPOSTAZIONI!$C$6)," · rientro anticipato, meno di "&amp;IMPOSTAZIONI!$C$6&amp;" giorni","")&amp;IF(AND($C87&lt;&gt;"",$C87&gt;=TODAY(),$I87&lt;&gt;"",$C87-$I87&gt;IMPOSTAZIONI!$C$7)," · rientro oltre "&amp;IMPOSTAZIONI!$C$7&amp;" giorni",""))=0,"",MID(IF(AND($C87&lt;&gt;"",$C87=TODAY())," · oggi in centro","")&amp;IF(AND($C87&lt;&gt;"",$C87&gt;=TODAY(),N($D87)+1&gt;=IMPOSTAZIONI!$C$5)," · ultima del ciclo, proponi il mantenimento","")&amp;IF(AND($C87&lt;&gt;"",$C87&gt;=TODAY(),$I87&lt;&gt;"",$C87-$I87&lt;IMPOSTAZIONI!$C$6)," · rientro anticipato, meno di "&amp;IMPOSTAZIONI!$C$6&amp;" giorni","")&amp;IF(AND($C87&lt;&gt;"",$C87&gt;=TODAY(),$I87&lt;&gt;"",$C87-$I87&gt;IMPOSTAZIONI!$C$7)," · rientro oltre "&amp;IMPOSTAZIONI!$C$7&amp;" giorni",""),4,300)))</f>
        <v/>
      </c>
      <c r="G87" s="16" t="n"/>
      <c r="H87" s="11" t="n"/>
      <c r="I87" s="13" t="n"/>
      <c r="J87" s="17">
        <f>IF($I87="","",TODAY()-$I87)</f>
        <v/>
      </c>
      <c r="K87" s="17">
        <f>IF($C87="","",$C87-TODAY())</f>
        <v/>
      </c>
      <c r="L87" s="15">
        <f>IF($A87="","",N($D87)&amp;"/"&amp;IMPOSTAZIONI!$C$5)</f>
        <v/>
      </c>
      <c r="M87" s="15">
        <f>IF($S87="","",IF($S87="RECUPERA CON INCENTIVO",INCENTIVI!$C$7,IF($S87="RICHIAMO MANTENIMENTO",INCENTIVI!$C$6,IF(OR($S87="FUORI FINESTRA",$S87="ULTIMA SEDUTA"),INCENTIVI!$C$5,""))))</f>
        <v/>
      </c>
      <c r="N87" s="18" t="n"/>
      <c r="O87" s="19">
        <f>IF($A87="","",N($D87)*N($N87))</f>
        <v/>
      </c>
      <c r="P87" s="19">
        <f>IF($A87="","",MAX(0,(IMPOSTAZIONI!$C$5-N($D87))*N($N87)))</f>
        <v/>
      </c>
      <c r="Q87" s="13" t="n"/>
      <c r="R87" s="11" t="n"/>
      <c r="S87" s="15">
        <f>IF($A87="","",IF(AND($C87&lt;&gt;"",$C87&lt;TODAY(),OR($I87="",$I87&lt;$C87)),"APPUNTAMENTO SALTATO",IF(AND($C87&lt;&gt;"",$C87-TODAY()=1),"CONFERMA DOMANI",IF(AND($C87&lt;&gt;"",$C87-TODAY()=IMPOSTAZIONI!$C$8),"CHIAMA PER CONFERMA",IF(AND($C87&lt;&gt;"",$C87&gt;=TODAY()),"",IF($E87="Sospesa","",IF($E87="Persa","RECUPERA CON INCENTIVO",IF(AND($I87&lt;&gt;"",TODAY()&gt;=EDATE($I87,IMPOSTAZIONI!$C$10)),"RECUPERA CON INCENTIVO",IF($E87="Mantenimento",IF(AND($I87&lt;&gt;"",TODAY()-$I87&gt;=IMPOSTAZIONI!$C$9),"RICHIAMO MANTENIMENTO",""),IF($E87="In ciclo",IF(N($D87)&gt;=IMPOSTAZIONI!$C$5,"ULTIMA SEDUTA",IF(AND($I87&lt;&gt;"",TODAY()-$I87&gt;IMPOSTAZIONI!$C$7),"FUORI FINESTRA","PRENDI APPUNTAMENTO")),IF($E87="Da contattare","PRENDI APPUNTAMENTO","")))))))))))</f>
        <v/>
      </c>
      <c r="T87" s="17">
        <f>IF($S87="","",IFERROR(MATCH($S87,IMPOSTAZIONI!$F$5:$F$12,0),9)*100000000+(9999-MIN(9999,ROUND(N($O87)/100,0)))*10000+ROW())</f>
        <v/>
      </c>
    </row>
    <row r="88">
      <c r="A88" s="11" t="n"/>
      <c r="B88" s="12">
        <f>IF($S88="","",IFERROR(MATCH($S88,IMPOSTAZIONI!$F$5:$F$12,0),9)&amp;" · "&amp;$S88)</f>
        <v/>
      </c>
      <c r="C88" s="13" t="n"/>
      <c r="D88" s="14" t="n"/>
      <c r="E88" s="11" t="n"/>
      <c r="F88" s="15">
        <f>IF($A88="","",IF(LEN(IF(AND($C88&lt;&gt;"",$C88=TODAY())," · oggi in centro","")&amp;IF(AND($C88&lt;&gt;"",$C88&gt;=TODAY(),N($D88)+1&gt;=IMPOSTAZIONI!$C$5)," · ultima del ciclo, proponi il mantenimento","")&amp;IF(AND($C88&lt;&gt;"",$C88&gt;=TODAY(),$I88&lt;&gt;"",$C88-$I88&lt;IMPOSTAZIONI!$C$6)," · rientro anticipato, meno di "&amp;IMPOSTAZIONI!$C$6&amp;" giorni","")&amp;IF(AND($C88&lt;&gt;"",$C88&gt;=TODAY(),$I88&lt;&gt;"",$C88-$I88&gt;IMPOSTAZIONI!$C$7)," · rientro oltre "&amp;IMPOSTAZIONI!$C$7&amp;" giorni",""))=0,"",MID(IF(AND($C88&lt;&gt;"",$C88=TODAY())," · oggi in centro","")&amp;IF(AND($C88&lt;&gt;"",$C88&gt;=TODAY(),N($D88)+1&gt;=IMPOSTAZIONI!$C$5)," · ultima del ciclo, proponi il mantenimento","")&amp;IF(AND($C88&lt;&gt;"",$C88&gt;=TODAY(),$I88&lt;&gt;"",$C88-$I88&lt;IMPOSTAZIONI!$C$6)," · rientro anticipato, meno di "&amp;IMPOSTAZIONI!$C$6&amp;" giorni","")&amp;IF(AND($C88&lt;&gt;"",$C88&gt;=TODAY(),$I88&lt;&gt;"",$C88-$I88&gt;IMPOSTAZIONI!$C$7)," · rientro oltre "&amp;IMPOSTAZIONI!$C$7&amp;" giorni",""),4,300)))</f>
        <v/>
      </c>
      <c r="G88" s="16" t="n"/>
      <c r="H88" s="11" t="n"/>
      <c r="I88" s="13" t="n"/>
      <c r="J88" s="17">
        <f>IF($I88="","",TODAY()-$I88)</f>
        <v/>
      </c>
      <c r="K88" s="17">
        <f>IF($C88="","",$C88-TODAY())</f>
        <v/>
      </c>
      <c r="L88" s="15">
        <f>IF($A88="","",N($D88)&amp;"/"&amp;IMPOSTAZIONI!$C$5)</f>
        <v/>
      </c>
      <c r="M88" s="15">
        <f>IF($S88="","",IF($S88="RECUPERA CON INCENTIVO",INCENTIVI!$C$7,IF($S88="RICHIAMO MANTENIMENTO",INCENTIVI!$C$6,IF(OR($S88="FUORI FINESTRA",$S88="ULTIMA SEDUTA"),INCENTIVI!$C$5,""))))</f>
        <v/>
      </c>
      <c r="N88" s="18" t="n"/>
      <c r="O88" s="19">
        <f>IF($A88="","",N($D88)*N($N88))</f>
        <v/>
      </c>
      <c r="P88" s="19">
        <f>IF($A88="","",MAX(0,(IMPOSTAZIONI!$C$5-N($D88))*N($N88)))</f>
        <v/>
      </c>
      <c r="Q88" s="13" t="n"/>
      <c r="R88" s="11" t="n"/>
      <c r="S88" s="15">
        <f>IF($A88="","",IF(AND($C88&lt;&gt;"",$C88&lt;TODAY(),OR($I88="",$I88&lt;$C88)),"APPUNTAMENTO SALTATO",IF(AND($C88&lt;&gt;"",$C88-TODAY()=1),"CONFERMA DOMANI",IF(AND($C88&lt;&gt;"",$C88-TODAY()=IMPOSTAZIONI!$C$8),"CHIAMA PER CONFERMA",IF(AND($C88&lt;&gt;"",$C88&gt;=TODAY()),"",IF($E88="Sospesa","",IF($E88="Persa","RECUPERA CON INCENTIVO",IF(AND($I88&lt;&gt;"",TODAY()&gt;=EDATE($I88,IMPOSTAZIONI!$C$10)),"RECUPERA CON INCENTIVO",IF($E88="Mantenimento",IF(AND($I88&lt;&gt;"",TODAY()-$I88&gt;=IMPOSTAZIONI!$C$9),"RICHIAMO MANTENIMENTO",""),IF($E88="In ciclo",IF(N($D88)&gt;=IMPOSTAZIONI!$C$5,"ULTIMA SEDUTA",IF(AND($I88&lt;&gt;"",TODAY()-$I88&gt;IMPOSTAZIONI!$C$7),"FUORI FINESTRA","PRENDI APPUNTAMENTO")),IF($E88="Da contattare","PRENDI APPUNTAMENTO","")))))))))))</f>
        <v/>
      </c>
      <c r="T88" s="17">
        <f>IF($S88="","",IFERROR(MATCH($S88,IMPOSTAZIONI!$F$5:$F$12,0),9)*100000000+(9999-MIN(9999,ROUND(N($O88)/100,0)))*10000+ROW())</f>
        <v/>
      </c>
    </row>
    <row r="89">
      <c r="A89" s="11" t="n"/>
      <c r="B89" s="12">
        <f>IF($S89="","",IFERROR(MATCH($S89,IMPOSTAZIONI!$F$5:$F$12,0),9)&amp;" · "&amp;$S89)</f>
        <v/>
      </c>
      <c r="C89" s="13" t="n"/>
      <c r="D89" s="14" t="n"/>
      <c r="E89" s="11" t="n"/>
      <c r="F89" s="15">
        <f>IF($A89="","",IF(LEN(IF(AND($C89&lt;&gt;"",$C89=TODAY())," · oggi in centro","")&amp;IF(AND($C89&lt;&gt;"",$C89&gt;=TODAY(),N($D89)+1&gt;=IMPOSTAZIONI!$C$5)," · ultima del ciclo, proponi il mantenimento","")&amp;IF(AND($C89&lt;&gt;"",$C89&gt;=TODAY(),$I89&lt;&gt;"",$C89-$I89&lt;IMPOSTAZIONI!$C$6)," · rientro anticipato, meno di "&amp;IMPOSTAZIONI!$C$6&amp;" giorni","")&amp;IF(AND($C89&lt;&gt;"",$C89&gt;=TODAY(),$I89&lt;&gt;"",$C89-$I89&gt;IMPOSTAZIONI!$C$7)," · rientro oltre "&amp;IMPOSTAZIONI!$C$7&amp;" giorni",""))=0,"",MID(IF(AND($C89&lt;&gt;"",$C89=TODAY())," · oggi in centro","")&amp;IF(AND($C89&lt;&gt;"",$C89&gt;=TODAY(),N($D89)+1&gt;=IMPOSTAZIONI!$C$5)," · ultima del ciclo, proponi il mantenimento","")&amp;IF(AND($C89&lt;&gt;"",$C89&gt;=TODAY(),$I89&lt;&gt;"",$C89-$I89&lt;IMPOSTAZIONI!$C$6)," · rientro anticipato, meno di "&amp;IMPOSTAZIONI!$C$6&amp;" giorni","")&amp;IF(AND($C89&lt;&gt;"",$C89&gt;=TODAY(),$I89&lt;&gt;"",$C89-$I89&gt;IMPOSTAZIONI!$C$7)," · rientro oltre "&amp;IMPOSTAZIONI!$C$7&amp;" giorni",""),4,300)))</f>
        <v/>
      </c>
      <c r="G89" s="16" t="n"/>
      <c r="H89" s="11" t="n"/>
      <c r="I89" s="13" t="n"/>
      <c r="J89" s="17">
        <f>IF($I89="","",TODAY()-$I89)</f>
        <v/>
      </c>
      <c r="K89" s="17">
        <f>IF($C89="","",$C89-TODAY())</f>
        <v/>
      </c>
      <c r="L89" s="15">
        <f>IF($A89="","",N($D89)&amp;"/"&amp;IMPOSTAZIONI!$C$5)</f>
        <v/>
      </c>
      <c r="M89" s="15">
        <f>IF($S89="","",IF($S89="RECUPERA CON INCENTIVO",INCENTIVI!$C$7,IF($S89="RICHIAMO MANTENIMENTO",INCENTIVI!$C$6,IF(OR($S89="FUORI FINESTRA",$S89="ULTIMA SEDUTA"),INCENTIVI!$C$5,""))))</f>
        <v/>
      </c>
      <c r="N89" s="18" t="n"/>
      <c r="O89" s="19">
        <f>IF($A89="","",N($D89)*N($N89))</f>
        <v/>
      </c>
      <c r="P89" s="19">
        <f>IF($A89="","",MAX(0,(IMPOSTAZIONI!$C$5-N($D89))*N($N89)))</f>
        <v/>
      </c>
      <c r="Q89" s="13" t="n"/>
      <c r="R89" s="11" t="n"/>
      <c r="S89" s="15">
        <f>IF($A89="","",IF(AND($C89&lt;&gt;"",$C89&lt;TODAY(),OR($I89="",$I89&lt;$C89)),"APPUNTAMENTO SALTATO",IF(AND($C89&lt;&gt;"",$C89-TODAY()=1),"CONFERMA DOMANI",IF(AND($C89&lt;&gt;"",$C89-TODAY()=IMPOSTAZIONI!$C$8),"CHIAMA PER CONFERMA",IF(AND($C89&lt;&gt;"",$C89&gt;=TODAY()),"",IF($E89="Sospesa","",IF($E89="Persa","RECUPERA CON INCENTIVO",IF(AND($I89&lt;&gt;"",TODAY()&gt;=EDATE($I89,IMPOSTAZIONI!$C$10)),"RECUPERA CON INCENTIVO",IF($E89="Mantenimento",IF(AND($I89&lt;&gt;"",TODAY()-$I89&gt;=IMPOSTAZIONI!$C$9),"RICHIAMO MANTENIMENTO",""),IF($E89="In ciclo",IF(N($D89)&gt;=IMPOSTAZIONI!$C$5,"ULTIMA SEDUTA",IF(AND($I89&lt;&gt;"",TODAY()-$I89&gt;IMPOSTAZIONI!$C$7),"FUORI FINESTRA","PRENDI APPUNTAMENTO")),IF($E89="Da contattare","PRENDI APPUNTAMENTO","")))))))))))</f>
        <v/>
      </c>
      <c r="T89" s="17">
        <f>IF($S89="","",IFERROR(MATCH($S89,IMPOSTAZIONI!$F$5:$F$12,0),9)*100000000+(9999-MIN(9999,ROUND(N($O89)/100,0)))*10000+ROW())</f>
        <v/>
      </c>
    </row>
    <row r="90">
      <c r="A90" s="11" t="n"/>
      <c r="B90" s="12">
        <f>IF($S90="","",IFERROR(MATCH($S90,IMPOSTAZIONI!$F$5:$F$12,0),9)&amp;" · "&amp;$S90)</f>
        <v/>
      </c>
      <c r="C90" s="13" t="n"/>
      <c r="D90" s="14" t="n"/>
      <c r="E90" s="11" t="n"/>
      <c r="F90" s="15">
        <f>IF($A90="","",IF(LEN(IF(AND($C90&lt;&gt;"",$C90=TODAY())," · oggi in centro","")&amp;IF(AND($C90&lt;&gt;"",$C90&gt;=TODAY(),N($D90)+1&gt;=IMPOSTAZIONI!$C$5)," · ultima del ciclo, proponi il mantenimento","")&amp;IF(AND($C90&lt;&gt;"",$C90&gt;=TODAY(),$I90&lt;&gt;"",$C90-$I90&lt;IMPOSTAZIONI!$C$6)," · rientro anticipato, meno di "&amp;IMPOSTAZIONI!$C$6&amp;" giorni","")&amp;IF(AND($C90&lt;&gt;"",$C90&gt;=TODAY(),$I90&lt;&gt;"",$C90-$I90&gt;IMPOSTAZIONI!$C$7)," · rientro oltre "&amp;IMPOSTAZIONI!$C$7&amp;" giorni",""))=0,"",MID(IF(AND($C90&lt;&gt;"",$C90=TODAY())," · oggi in centro","")&amp;IF(AND($C90&lt;&gt;"",$C90&gt;=TODAY(),N($D90)+1&gt;=IMPOSTAZIONI!$C$5)," · ultima del ciclo, proponi il mantenimento","")&amp;IF(AND($C90&lt;&gt;"",$C90&gt;=TODAY(),$I90&lt;&gt;"",$C90-$I90&lt;IMPOSTAZIONI!$C$6)," · rientro anticipato, meno di "&amp;IMPOSTAZIONI!$C$6&amp;" giorni","")&amp;IF(AND($C90&lt;&gt;"",$C90&gt;=TODAY(),$I90&lt;&gt;"",$C90-$I90&gt;IMPOSTAZIONI!$C$7)," · rientro oltre "&amp;IMPOSTAZIONI!$C$7&amp;" giorni",""),4,300)))</f>
        <v/>
      </c>
      <c r="G90" s="16" t="n"/>
      <c r="H90" s="11" t="n"/>
      <c r="I90" s="13" t="n"/>
      <c r="J90" s="17">
        <f>IF($I90="","",TODAY()-$I90)</f>
        <v/>
      </c>
      <c r="K90" s="17">
        <f>IF($C90="","",$C90-TODAY())</f>
        <v/>
      </c>
      <c r="L90" s="15">
        <f>IF($A90="","",N($D90)&amp;"/"&amp;IMPOSTAZIONI!$C$5)</f>
        <v/>
      </c>
      <c r="M90" s="15">
        <f>IF($S90="","",IF($S90="RECUPERA CON INCENTIVO",INCENTIVI!$C$7,IF($S90="RICHIAMO MANTENIMENTO",INCENTIVI!$C$6,IF(OR($S90="FUORI FINESTRA",$S90="ULTIMA SEDUTA"),INCENTIVI!$C$5,""))))</f>
        <v/>
      </c>
      <c r="N90" s="18" t="n"/>
      <c r="O90" s="19">
        <f>IF($A90="","",N($D90)*N($N90))</f>
        <v/>
      </c>
      <c r="P90" s="19">
        <f>IF($A90="","",MAX(0,(IMPOSTAZIONI!$C$5-N($D90))*N($N90)))</f>
        <v/>
      </c>
      <c r="Q90" s="13" t="n"/>
      <c r="R90" s="11" t="n"/>
      <c r="S90" s="15">
        <f>IF($A90="","",IF(AND($C90&lt;&gt;"",$C90&lt;TODAY(),OR($I90="",$I90&lt;$C90)),"APPUNTAMENTO SALTATO",IF(AND($C90&lt;&gt;"",$C90-TODAY()=1),"CONFERMA DOMANI",IF(AND($C90&lt;&gt;"",$C90-TODAY()=IMPOSTAZIONI!$C$8),"CHIAMA PER CONFERMA",IF(AND($C90&lt;&gt;"",$C90&gt;=TODAY()),"",IF($E90="Sospesa","",IF($E90="Persa","RECUPERA CON INCENTIVO",IF(AND($I90&lt;&gt;"",TODAY()&gt;=EDATE($I90,IMPOSTAZIONI!$C$10)),"RECUPERA CON INCENTIVO",IF($E90="Mantenimento",IF(AND($I90&lt;&gt;"",TODAY()-$I90&gt;=IMPOSTAZIONI!$C$9),"RICHIAMO MANTENIMENTO",""),IF($E90="In ciclo",IF(N($D90)&gt;=IMPOSTAZIONI!$C$5,"ULTIMA SEDUTA",IF(AND($I90&lt;&gt;"",TODAY()-$I90&gt;IMPOSTAZIONI!$C$7),"FUORI FINESTRA","PRENDI APPUNTAMENTO")),IF($E90="Da contattare","PRENDI APPUNTAMENTO","")))))))))))</f>
        <v/>
      </c>
      <c r="T90" s="17">
        <f>IF($S90="","",IFERROR(MATCH($S90,IMPOSTAZIONI!$F$5:$F$12,0),9)*100000000+(9999-MIN(9999,ROUND(N($O90)/100,0)))*10000+ROW())</f>
        <v/>
      </c>
    </row>
    <row r="91">
      <c r="A91" s="11" t="n"/>
      <c r="B91" s="12">
        <f>IF($S91="","",IFERROR(MATCH($S91,IMPOSTAZIONI!$F$5:$F$12,0),9)&amp;" · "&amp;$S91)</f>
        <v/>
      </c>
      <c r="C91" s="13" t="n"/>
      <c r="D91" s="14" t="n"/>
      <c r="E91" s="11" t="n"/>
      <c r="F91" s="15">
        <f>IF($A91="","",IF(LEN(IF(AND($C91&lt;&gt;"",$C91=TODAY())," · oggi in centro","")&amp;IF(AND($C91&lt;&gt;"",$C91&gt;=TODAY(),N($D91)+1&gt;=IMPOSTAZIONI!$C$5)," · ultima del ciclo, proponi il mantenimento","")&amp;IF(AND($C91&lt;&gt;"",$C91&gt;=TODAY(),$I91&lt;&gt;"",$C91-$I91&lt;IMPOSTAZIONI!$C$6)," · rientro anticipato, meno di "&amp;IMPOSTAZIONI!$C$6&amp;" giorni","")&amp;IF(AND($C91&lt;&gt;"",$C91&gt;=TODAY(),$I91&lt;&gt;"",$C91-$I91&gt;IMPOSTAZIONI!$C$7)," · rientro oltre "&amp;IMPOSTAZIONI!$C$7&amp;" giorni",""))=0,"",MID(IF(AND($C91&lt;&gt;"",$C91=TODAY())," · oggi in centro","")&amp;IF(AND($C91&lt;&gt;"",$C91&gt;=TODAY(),N($D91)+1&gt;=IMPOSTAZIONI!$C$5)," · ultima del ciclo, proponi il mantenimento","")&amp;IF(AND($C91&lt;&gt;"",$C91&gt;=TODAY(),$I91&lt;&gt;"",$C91-$I91&lt;IMPOSTAZIONI!$C$6)," · rientro anticipato, meno di "&amp;IMPOSTAZIONI!$C$6&amp;" giorni","")&amp;IF(AND($C91&lt;&gt;"",$C91&gt;=TODAY(),$I91&lt;&gt;"",$C91-$I91&gt;IMPOSTAZIONI!$C$7)," · rientro oltre "&amp;IMPOSTAZIONI!$C$7&amp;" giorni",""),4,300)))</f>
        <v/>
      </c>
      <c r="G91" s="16" t="n"/>
      <c r="H91" s="11" t="n"/>
      <c r="I91" s="13" t="n"/>
      <c r="J91" s="17">
        <f>IF($I91="","",TODAY()-$I91)</f>
        <v/>
      </c>
      <c r="K91" s="17">
        <f>IF($C91="","",$C91-TODAY())</f>
        <v/>
      </c>
      <c r="L91" s="15">
        <f>IF($A91="","",N($D91)&amp;"/"&amp;IMPOSTAZIONI!$C$5)</f>
        <v/>
      </c>
      <c r="M91" s="15">
        <f>IF($S91="","",IF($S91="RECUPERA CON INCENTIVO",INCENTIVI!$C$7,IF($S91="RICHIAMO MANTENIMENTO",INCENTIVI!$C$6,IF(OR($S91="FUORI FINESTRA",$S91="ULTIMA SEDUTA"),INCENTIVI!$C$5,""))))</f>
        <v/>
      </c>
      <c r="N91" s="18" t="n"/>
      <c r="O91" s="19">
        <f>IF($A91="","",N($D91)*N($N91))</f>
        <v/>
      </c>
      <c r="P91" s="19">
        <f>IF($A91="","",MAX(0,(IMPOSTAZIONI!$C$5-N($D91))*N($N91)))</f>
        <v/>
      </c>
      <c r="Q91" s="13" t="n"/>
      <c r="R91" s="11" t="n"/>
      <c r="S91" s="15">
        <f>IF($A91="","",IF(AND($C91&lt;&gt;"",$C91&lt;TODAY(),OR($I91="",$I91&lt;$C91)),"APPUNTAMENTO SALTATO",IF(AND($C91&lt;&gt;"",$C91-TODAY()=1),"CONFERMA DOMANI",IF(AND($C91&lt;&gt;"",$C91-TODAY()=IMPOSTAZIONI!$C$8),"CHIAMA PER CONFERMA",IF(AND($C91&lt;&gt;"",$C91&gt;=TODAY()),"",IF($E91="Sospesa","",IF($E91="Persa","RECUPERA CON INCENTIVO",IF(AND($I91&lt;&gt;"",TODAY()&gt;=EDATE($I91,IMPOSTAZIONI!$C$10)),"RECUPERA CON INCENTIVO",IF($E91="Mantenimento",IF(AND($I91&lt;&gt;"",TODAY()-$I91&gt;=IMPOSTAZIONI!$C$9),"RICHIAMO MANTENIMENTO",""),IF($E91="In ciclo",IF(N($D91)&gt;=IMPOSTAZIONI!$C$5,"ULTIMA SEDUTA",IF(AND($I91&lt;&gt;"",TODAY()-$I91&gt;IMPOSTAZIONI!$C$7),"FUORI FINESTRA","PRENDI APPUNTAMENTO")),IF($E91="Da contattare","PRENDI APPUNTAMENTO","")))))))))))</f>
        <v/>
      </c>
      <c r="T91" s="17">
        <f>IF($S91="","",IFERROR(MATCH($S91,IMPOSTAZIONI!$F$5:$F$12,0),9)*100000000+(9999-MIN(9999,ROUND(N($O91)/100,0)))*10000+ROW())</f>
        <v/>
      </c>
    </row>
    <row r="92">
      <c r="A92" s="11" t="n"/>
      <c r="B92" s="12">
        <f>IF($S92="","",IFERROR(MATCH($S92,IMPOSTAZIONI!$F$5:$F$12,0),9)&amp;" · "&amp;$S92)</f>
        <v/>
      </c>
      <c r="C92" s="13" t="n"/>
      <c r="D92" s="14" t="n"/>
      <c r="E92" s="11" t="n"/>
      <c r="F92" s="15">
        <f>IF($A92="","",IF(LEN(IF(AND($C92&lt;&gt;"",$C92=TODAY())," · oggi in centro","")&amp;IF(AND($C92&lt;&gt;"",$C92&gt;=TODAY(),N($D92)+1&gt;=IMPOSTAZIONI!$C$5)," · ultima del ciclo, proponi il mantenimento","")&amp;IF(AND($C92&lt;&gt;"",$C92&gt;=TODAY(),$I92&lt;&gt;"",$C92-$I92&lt;IMPOSTAZIONI!$C$6)," · rientro anticipato, meno di "&amp;IMPOSTAZIONI!$C$6&amp;" giorni","")&amp;IF(AND($C92&lt;&gt;"",$C92&gt;=TODAY(),$I92&lt;&gt;"",$C92-$I92&gt;IMPOSTAZIONI!$C$7)," · rientro oltre "&amp;IMPOSTAZIONI!$C$7&amp;" giorni",""))=0,"",MID(IF(AND($C92&lt;&gt;"",$C92=TODAY())," · oggi in centro","")&amp;IF(AND($C92&lt;&gt;"",$C92&gt;=TODAY(),N($D92)+1&gt;=IMPOSTAZIONI!$C$5)," · ultima del ciclo, proponi il mantenimento","")&amp;IF(AND($C92&lt;&gt;"",$C92&gt;=TODAY(),$I92&lt;&gt;"",$C92-$I92&lt;IMPOSTAZIONI!$C$6)," · rientro anticipato, meno di "&amp;IMPOSTAZIONI!$C$6&amp;" giorni","")&amp;IF(AND($C92&lt;&gt;"",$C92&gt;=TODAY(),$I92&lt;&gt;"",$C92-$I92&gt;IMPOSTAZIONI!$C$7)," · rientro oltre "&amp;IMPOSTAZIONI!$C$7&amp;" giorni",""),4,300)))</f>
        <v/>
      </c>
      <c r="G92" s="16" t="n"/>
      <c r="H92" s="11" t="n"/>
      <c r="I92" s="13" t="n"/>
      <c r="J92" s="17">
        <f>IF($I92="","",TODAY()-$I92)</f>
        <v/>
      </c>
      <c r="K92" s="17">
        <f>IF($C92="","",$C92-TODAY())</f>
        <v/>
      </c>
      <c r="L92" s="15">
        <f>IF($A92="","",N($D92)&amp;"/"&amp;IMPOSTAZIONI!$C$5)</f>
        <v/>
      </c>
      <c r="M92" s="15">
        <f>IF($S92="","",IF($S92="RECUPERA CON INCENTIVO",INCENTIVI!$C$7,IF($S92="RICHIAMO MANTENIMENTO",INCENTIVI!$C$6,IF(OR($S92="FUORI FINESTRA",$S92="ULTIMA SEDUTA"),INCENTIVI!$C$5,""))))</f>
        <v/>
      </c>
      <c r="N92" s="18" t="n"/>
      <c r="O92" s="19">
        <f>IF($A92="","",N($D92)*N($N92))</f>
        <v/>
      </c>
      <c r="P92" s="19">
        <f>IF($A92="","",MAX(0,(IMPOSTAZIONI!$C$5-N($D92))*N($N92)))</f>
        <v/>
      </c>
      <c r="Q92" s="13" t="n"/>
      <c r="R92" s="11" t="n"/>
      <c r="S92" s="15">
        <f>IF($A92="","",IF(AND($C92&lt;&gt;"",$C92&lt;TODAY(),OR($I92="",$I92&lt;$C92)),"APPUNTAMENTO SALTATO",IF(AND($C92&lt;&gt;"",$C92-TODAY()=1),"CONFERMA DOMANI",IF(AND($C92&lt;&gt;"",$C92-TODAY()=IMPOSTAZIONI!$C$8),"CHIAMA PER CONFERMA",IF(AND($C92&lt;&gt;"",$C92&gt;=TODAY()),"",IF($E92="Sospesa","",IF($E92="Persa","RECUPERA CON INCENTIVO",IF(AND($I92&lt;&gt;"",TODAY()&gt;=EDATE($I92,IMPOSTAZIONI!$C$10)),"RECUPERA CON INCENTIVO",IF($E92="Mantenimento",IF(AND($I92&lt;&gt;"",TODAY()-$I92&gt;=IMPOSTAZIONI!$C$9),"RICHIAMO MANTENIMENTO",""),IF($E92="In ciclo",IF(N($D92)&gt;=IMPOSTAZIONI!$C$5,"ULTIMA SEDUTA",IF(AND($I92&lt;&gt;"",TODAY()-$I92&gt;IMPOSTAZIONI!$C$7),"FUORI FINESTRA","PRENDI APPUNTAMENTO")),IF($E92="Da contattare","PRENDI APPUNTAMENTO","")))))))))))</f>
        <v/>
      </c>
      <c r="T92" s="17">
        <f>IF($S92="","",IFERROR(MATCH($S92,IMPOSTAZIONI!$F$5:$F$12,0),9)*100000000+(9999-MIN(9999,ROUND(N($O92)/100,0)))*10000+ROW())</f>
        <v/>
      </c>
    </row>
    <row r="93">
      <c r="A93" s="11" t="n"/>
      <c r="B93" s="12">
        <f>IF($S93="","",IFERROR(MATCH($S93,IMPOSTAZIONI!$F$5:$F$12,0),9)&amp;" · "&amp;$S93)</f>
        <v/>
      </c>
      <c r="C93" s="13" t="n"/>
      <c r="D93" s="14" t="n"/>
      <c r="E93" s="11" t="n"/>
      <c r="F93" s="15">
        <f>IF($A93="","",IF(LEN(IF(AND($C93&lt;&gt;"",$C93=TODAY())," · oggi in centro","")&amp;IF(AND($C93&lt;&gt;"",$C93&gt;=TODAY(),N($D93)+1&gt;=IMPOSTAZIONI!$C$5)," · ultima del ciclo, proponi il mantenimento","")&amp;IF(AND($C93&lt;&gt;"",$C93&gt;=TODAY(),$I93&lt;&gt;"",$C93-$I93&lt;IMPOSTAZIONI!$C$6)," · rientro anticipato, meno di "&amp;IMPOSTAZIONI!$C$6&amp;" giorni","")&amp;IF(AND($C93&lt;&gt;"",$C93&gt;=TODAY(),$I93&lt;&gt;"",$C93-$I93&gt;IMPOSTAZIONI!$C$7)," · rientro oltre "&amp;IMPOSTAZIONI!$C$7&amp;" giorni",""))=0,"",MID(IF(AND($C93&lt;&gt;"",$C93=TODAY())," · oggi in centro","")&amp;IF(AND($C93&lt;&gt;"",$C93&gt;=TODAY(),N($D93)+1&gt;=IMPOSTAZIONI!$C$5)," · ultima del ciclo, proponi il mantenimento","")&amp;IF(AND($C93&lt;&gt;"",$C93&gt;=TODAY(),$I93&lt;&gt;"",$C93-$I93&lt;IMPOSTAZIONI!$C$6)," · rientro anticipato, meno di "&amp;IMPOSTAZIONI!$C$6&amp;" giorni","")&amp;IF(AND($C93&lt;&gt;"",$C93&gt;=TODAY(),$I93&lt;&gt;"",$C93-$I93&gt;IMPOSTAZIONI!$C$7)," · rientro oltre "&amp;IMPOSTAZIONI!$C$7&amp;" giorni",""),4,300)))</f>
        <v/>
      </c>
      <c r="G93" s="16" t="n"/>
      <c r="H93" s="11" t="n"/>
      <c r="I93" s="13" t="n"/>
      <c r="J93" s="17">
        <f>IF($I93="","",TODAY()-$I93)</f>
        <v/>
      </c>
      <c r="K93" s="17">
        <f>IF($C93="","",$C93-TODAY())</f>
        <v/>
      </c>
      <c r="L93" s="15">
        <f>IF($A93="","",N($D93)&amp;"/"&amp;IMPOSTAZIONI!$C$5)</f>
        <v/>
      </c>
      <c r="M93" s="15">
        <f>IF($S93="","",IF($S93="RECUPERA CON INCENTIVO",INCENTIVI!$C$7,IF($S93="RICHIAMO MANTENIMENTO",INCENTIVI!$C$6,IF(OR($S93="FUORI FINESTRA",$S93="ULTIMA SEDUTA"),INCENTIVI!$C$5,""))))</f>
        <v/>
      </c>
      <c r="N93" s="18" t="n"/>
      <c r="O93" s="19">
        <f>IF($A93="","",N($D93)*N($N93))</f>
        <v/>
      </c>
      <c r="P93" s="19">
        <f>IF($A93="","",MAX(0,(IMPOSTAZIONI!$C$5-N($D93))*N($N93)))</f>
        <v/>
      </c>
      <c r="Q93" s="13" t="n"/>
      <c r="R93" s="11" t="n"/>
      <c r="S93" s="15">
        <f>IF($A93="","",IF(AND($C93&lt;&gt;"",$C93&lt;TODAY(),OR($I93="",$I93&lt;$C93)),"APPUNTAMENTO SALTATO",IF(AND($C93&lt;&gt;"",$C93-TODAY()=1),"CONFERMA DOMANI",IF(AND($C93&lt;&gt;"",$C93-TODAY()=IMPOSTAZIONI!$C$8),"CHIAMA PER CONFERMA",IF(AND($C93&lt;&gt;"",$C93&gt;=TODAY()),"",IF($E93="Sospesa","",IF($E93="Persa","RECUPERA CON INCENTIVO",IF(AND($I93&lt;&gt;"",TODAY()&gt;=EDATE($I93,IMPOSTAZIONI!$C$10)),"RECUPERA CON INCENTIVO",IF($E93="Mantenimento",IF(AND($I93&lt;&gt;"",TODAY()-$I93&gt;=IMPOSTAZIONI!$C$9),"RICHIAMO MANTENIMENTO",""),IF($E93="In ciclo",IF(N($D93)&gt;=IMPOSTAZIONI!$C$5,"ULTIMA SEDUTA",IF(AND($I93&lt;&gt;"",TODAY()-$I93&gt;IMPOSTAZIONI!$C$7),"FUORI FINESTRA","PRENDI APPUNTAMENTO")),IF($E93="Da contattare","PRENDI APPUNTAMENTO","")))))))))))</f>
        <v/>
      </c>
      <c r="T93" s="17">
        <f>IF($S93="","",IFERROR(MATCH($S93,IMPOSTAZIONI!$F$5:$F$12,0),9)*100000000+(9999-MIN(9999,ROUND(N($O93)/100,0)))*10000+ROW())</f>
        <v/>
      </c>
    </row>
    <row r="94">
      <c r="A94" s="11" t="n"/>
      <c r="B94" s="12">
        <f>IF($S94="","",IFERROR(MATCH($S94,IMPOSTAZIONI!$F$5:$F$12,0),9)&amp;" · "&amp;$S94)</f>
        <v/>
      </c>
      <c r="C94" s="13" t="n"/>
      <c r="D94" s="14" t="n"/>
      <c r="E94" s="11" t="n"/>
      <c r="F94" s="15">
        <f>IF($A94="","",IF(LEN(IF(AND($C94&lt;&gt;"",$C94=TODAY())," · oggi in centro","")&amp;IF(AND($C94&lt;&gt;"",$C94&gt;=TODAY(),N($D94)+1&gt;=IMPOSTAZIONI!$C$5)," · ultima del ciclo, proponi il mantenimento","")&amp;IF(AND($C94&lt;&gt;"",$C94&gt;=TODAY(),$I94&lt;&gt;"",$C94-$I94&lt;IMPOSTAZIONI!$C$6)," · rientro anticipato, meno di "&amp;IMPOSTAZIONI!$C$6&amp;" giorni","")&amp;IF(AND($C94&lt;&gt;"",$C94&gt;=TODAY(),$I94&lt;&gt;"",$C94-$I94&gt;IMPOSTAZIONI!$C$7)," · rientro oltre "&amp;IMPOSTAZIONI!$C$7&amp;" giorni",""))=0,"",MID(IF(AND($C94&lt;&gt;"",$C94=TODAY())," · oggi in centro","")&amp;IF(AND($C94&lt;&gt;"",$C94&gt;=TODAY(),N($D94)+1&gt;=IMPOSTAZIONI!$C$5)," · ultima del ciclo, proponi il mantenimento","")&amp;IF(AND($C94&lt;&gt;"",$C94&gt;=TODAY(),$I94&lt;&gt;"",$C94-$I94&lt;IMPOSTAZIONI!$C$6)," · rientro anticipato, meno di "&amp;IMPOSTAZIONI!$C$6&amp;" giorni","")&amp;IF(AND($C94&lt;&gt;"",$C94&gt;=TODAY(),$I94&lt;&gt;"",$C94-$I94&gt;IMPOSTAZIONI!$C$7)," · rientro oltre "&amp;IMPOSTAZIONI!$C$7&amp;" giorni",""),4,300)))</f>
        <v/>
      </c>
      <c r="G94" s="16" t="n"/>
      <c r="H94" s="11" t="n"/>
      <c r="I94" s="13" t="n"/>
      <c r="J94" s="17">
        <f>IF($I94="","",TODAY()-$I94)</f>
        <v/>
      </c>
      <c r="K94" s="17">
        <f>IF($C94="","",$C94-TODAY())</f>
        <v/>
      </c>
      <c r="L94" s="15">
        <f>IF($A94="","",N($D94)&amp;"/"&amp;IMPOSTAZIONI!$C$5)</f>
        <v/>
      </c>
      <c r="M94" s="15">
        <f>IF($S94="","",IF($S94="RECUPERA CON INCENTIVO",INCENTIVI!$C$7,IF($S94="RICHIAMO MANTENIMENTO",INCENTIVI!$C$6,IF(OR($S94="FUORI FINESTRA",$S94="ULTIMA SEDUTA"),INCENTIVI!$C$5,""))))</f>
        <v/>
      </c>
      <c r="N94" s="18" t="n"/>
      <c r="O94" s="19">
        <f>IF($A94="","",N($D94)*N($N94))</f>
        <v/>
      </c>
      <c r="P94" s="19">
        <f>IF($A94="","",MAX(0,(IMPOSTAZIONI!$C$5-N($D94))*N($N94)))</f>
        <v/>
      </c>
      <c r="Q94" s="13" t="n"/>
      <c r="R94" s="11" t="n"/>
      <c r="S94" s="15">
        <f>IF($A94="","",IF(AND($C94&lt;&gt;"",$C94&lt;TODAY(),OR($I94="",$I94&lt;$C94)),"APPUNTAMENTO SALTATO",IF(AND($C94&lt;&gt;"",$C94-TODAY()=1),"CONFERMA DOMANI",IF(AND($C94&lt;&gt;"",$C94-TODAY()=IMPOSTAZIONI!$C$8),"CHIAMA PER CONFERMA",IF(AND($C94&lt;&gt;"",$C94&gt;=TODAY()),"",IF($E94="Sospesa","",IF($E94="Persa","RECUPERA CON INCENTIVO",IF(AND($I94&lt;&gt;"",TODAY()&gt;=EDATE($I94,IMPOSTAZIONI!$C$10)),"RECUPERA CON INCENTIVO",IF($E94="Mantenimento",IF(AND($I94&lt;&gt;"",TODAY()-$I94&gt;=IMPOSTAZIONI!$C$9),"RICHIAMO MANTENIMENTO",""),IF($E94="In ciclo",IF(N($D94)&gt;=IMPOSTAZIONI!$C$5,"ULTIMA SEDUTA",IF(AND($I94&lt;&gt;"",TODAY()-$I94&gt;IMPOSTAZIONI!$C$7),"FUORI FINESTRA","PRENDI APPUNTAMENTO")),IF($E94="Da contattare","PRENDI APPUNTAMENTO","")))))))))))</f>
        <v/>
      </c>
      <c r="T94" s="17">
        <f>IF($S94="","",IFERROR(MATCH($S94,IMPOSTAZIONI!$F$5:$F$12,0),9)*100000000+(9999-MIN(9999,ROUND(N($O94)/100,0)))*10000+ROW())</f>
        <v/>
      </c>
    </row>
    <row r="95">
      <c r="A95" s="11" t="n"/>
      <c r="B95" s="12">
        <f>IF($S95="","",IFERROR(MATCH($S95,IMPOSTAZIONI!$F$5:$F$12,0),9)&amp;" · "&amp;$S95)</f>
        <v/>
      </c>
      <c r="C95" s="13" t="n"/>
      <c r="D95" s="14" t="n"/>
      <c r="E95" s="11" t="n"/>
      <c r="F95" s="15">
        <f>IF($A95="","",IF(LEN(IF(AND($C95&lt;&gt;"",$C95=TODAY())," · oggi in centro","")&amp;IF(AND($C95&lt;&gt;"",$C95&gt;=TODAY(),N($D95)+1&gt;=IMPOSTAZIONI!$C$5)," · ultima del ciclo, proponi il mantenimento","")&amp;IF(AND($C95&lt;&gt;"",$C95&gt;=TODAY(),$I95&lt;&gt;"",$C95-$I95&lt;IMPOSTAZIONI!$C$6)," · rientro anticipato, meno di "&amp;IMPOSTAZIONI!$C$6&amp;" giorni","")&amp;IF(AND($C95&lt;&gt;"",$C95&gt;=TODAY(),$I95&lt;&gt;"",$C95-$I95&gt;IMPOSTAZIONI!$C$7)," · rientro oltre "&amp;IMPOSTAZIONI!$C$7&amp;" giorni",""))=0,"",MID(IF(AND($C95&lt;&gt;"",$C95=TODAY())," · oggi in centro","")&amp;IF(AND($C95&lt;&gt;"",$C95&gt;=TODAY(),N($D95)+1&gt;=IMPOSTAZIONI!$C$5)," · ultima del ciclo, proponi il mantenimento","")&amp;IF(AND($C95&lt;&gt;"",$C95&gt;=TODAY(),$I95&lt;&gt;"",$C95-$I95&lt;IMPOSTAZIONI!$C$6)," · rientro anticipato, meno di "&amp;IMPOSTAZIONI!$C$6&amp;" giorni","")&amp;IF(AND($C95&lt;&gt;"",$C95&gt;=TODAY(),$I95&lt;&gt;"",$C95-$I95&gt;IMPOSTAZIONI!$C$7)," · rientro oltre "&amp;IMPOSTAZIONI!$C$7&amp;" giorni",""),4,300)))</f>
        <v/>
      </c>
      <c r="G95" s="16" t="n"/>
      <c r="H95" s="11" t="n"/>
      <c r="I95" s="13" t="n"/>
      <c r="J95" s="17">
        <f>IF($I95="","",TODAY()-$I95)</f>
        <v/>
      </c>
      <c r="K95" s="17">
        <f>IF($C95="","",$C95-TODAY())</f>
        <v/>
      </c>
      <c r="L95" s="15">
        <f>IF($A95="","",N($D95)&amp;"/"&amp;IMPOSTAZIONI!$C$5)</f>
        <v/>
      </c>
      <c r="M95" s="15">
        <f>IF($S95="","",IF($S95="RECUPERA CON INCENTIVO",INCENTIVI!$C$7,IF($S95="RICHIAMO MANTENIMENTO",INCENTIVI!$C$6,IF(OR($S95="FUORI FINESTRA",$S95="ULTIMA SEDUTA"),INCENTIVI!$C$5,""))))</f>
        <v/>
      </c>
      <c r="N95" s="18" t="n"/>
      <c r="O95" s="19">
        <f>IF($A95="","",N($D95)*N($N95))</f>
        <v/>
      </c>
      <c r="P95" s="19">
        <f>IF($A95="","",MAX(0,(IMPOSTAZIONI!$C$5-N($D95))*N($N95)))</f>
        <v/>
      </c>
      <c r="Q95" s="13" t="n"/>
      <c r="R95" s="11" t="n"/>
      <c r="S95" s="15">
        <f>IF($A95="","",IF(AND($C95&lt;&gt;"",$C95&lt;TODAY(),OR($I95="",$I95&lt;$C95)),"APPUNTAMENTO SALTATO",IF(AND($C95&lt;&gt;"",$C95-TODAY()=1),"CONFERMA DOMANI",IF(AND($C95&lt;&gt;"",$C95-TODAY()=IMPOSTAZIONI!$C$8),"CHIAMA PER CONFERMA",IF(AND($C95&lt;&gt;"",$C95&gt;=TODAY()),"",IF($E95="Sospesa","",IF($E95="Persa","RECUPERA CON INCENTIVO",IF(AND($I95&lt;&gt;"",TODAY()&gt;=EDATE($I95,IMPOSTAZIONI!$C$10)),"RECUPERA CON INCENTIVO",IF($E95="Mantenimento",IF(AND($I95&lt;&gt;"",TODAY()-$I95&gt;=IMPOSTAZIONI!$C$9),"RICHIAMO MANTENIMENTO",""),IF($E95="In ciclo",IF(N($D95)&gt;=IMPOSTAZIONI!$C$5,"ULTIMA SEDUTA",IF(AND($I95&lt;&gt;"",TODAY()-$I95&gt;IMPOSTAZIONI!$C$7),"FUORI FINESTRA","PRENDI APPUNTAMENTO")),IF($E95="Da contattare","PRENDI APPUNTAMENTO","")))))))))))</f>
        <v/>
      </c>
      <c r="T95" s="17">
        <f>IF($S95="","",IFERROR(MATCH($S95,IMPOSTAZIONI!$F$5:$F$12,0),9)*100000000+(9999-MIN(9999,ROUND(N($O95)/100,0)))*10000+ROW())</f>
        <v/>
      </c>
    </row>
    <row r="96">
      <c r="A96" s="11" t="n"/>
      <c r="B96" s="12">
        <f>IF($S96="","",IFERROR(MATCH($S96,IMPOSTAZIONI!$F$5:$F$12,0),9)&amp;" · "&amp;$S96)</f>
        <v/>
      </c>
      <c r="C96" s="13" t="n"/>
      <c r="D96" s="14" t="n"/>
      <c r="E96" s="11" t="n"/>
      <c r="F96" s="15">
        <f>IF($A96="","",IF(LEN(IF(AND($C96&lt;&gt;"",$C96=TODAY())," · oggi in centro","")&amp;IF(AND($C96&lt;&gt;"",$C96&gt;=TODAY(),N($D96)+1&gt;=IMPOSTAZIONI!$C$5)," · ultima del ciclo, proponi il mantenimento","")&amp;IF(AND($C96&lt;&gt;"",$C96&gt;=TODAY(),$I96&lt;&gt;"",$C96-$I96&lt;IMPOSTAZIONI!$C$6)," · rientro anticipato, meno di "&amp;IMPOSTAZIONI!$C$6&amp;" giorni","")&amp;IF(AND($C96&lt;&gt;"",$C96&gt;=TODAY(),$I96&lt;&gt;"",$C96-$I96&gt;IMPOSTAZIONI!$C$7)," · rientro oltre "&amp;IMPOSTAZIONI!$C$7&amp;" giorni",""))=0,"",MID(IF(AND($C96&lt;&gt;"",$C96=TODAY())," · oggi in centro","")&amp;IF(AND($C96&lt;&gt;"",$C96&gt;=TODAY(),N($D96)+1&gt;=IMPOSTAZIONI!$C$5)," · ultima del ciclo, proponi il mantenimento","")&amp;IF(AND($C96&lt;&gt;"",$C96&gt;=TODAY(),$I96&lt;&gt;"",$C96-$I96&lt;IMPOSTAZIONI!$C$6)," · rientro anticipato, meno di "&amp;IMPOSTAZIONI!$C$6&amp;" giorni","")&amp;IF(AND($C96&lt;&gt;"",$C96&gt;=TODAY(),$I96&lt;&gt;"",$C96-$I96&gt;IMPOSTAZIONI!$C$7)," · rientro oltre "&amp;IMPOSTAZIONI!$C$7&amp;" giorni",""),4,300)))</f>
        <v/>
      </c>
      <c r="G96" s="16" t="n"/>
      <c r="H96" s="11" t="n"/>
      <c r="I96" s="13" t="n"/>
      <c r="J96" s="17">
        <f>IF($I96="","",TODAY()-$I96)</f>
        <v/>
      </c>
      <c r="K96" s="17">
        <f>IF($C96="","",$C96-TODAY())</f>
        <v/>
      </c>
      <c r="L96" s="15">
        <f>IF($A96="","",N($D96)&amp;"/"&amp;IMPOSTAZIONI!$C$5)</f>
        <v/>
      </c>
      <c r="M96" s="15">
        <f>IF($S96="","",IF($S96="RECUPERA CON INCENTIVO",INCENTIVI!$C$7,IF($S96="RICHIAMO MANTENIMENTO",INCENTIVI!$C$6,IF(OR($S96="FUORI FINESTRA",$S96="ULTIMA SEDUTA"),INCENTIVI!$C$5,""))))</f>
        <v/>
      </c>
      <c r="N96" s="18" t="n"/>
      <c r="O96" s="19">
        <f>IF($A96="","",N($D96)*N($N96))</f>
        <v/>
      </c>
      <c r="P96" s="19">
        <f>IF($A96="","",MAX(0,(IMPOSTAZIONI!$C$5-N($D96))*N($N96)))</f>
        <v/>
      </c>
      <c r="Q96" s="13" t="n"/>
      <c r="R96" s="11" t="n"/>
      <c r="S96" s="15">
        <f>IF($A96="","",IF(AND($C96&lt;&gt;"",$C96&lt;TODAY(),OR($I96="",$I96&lt;$C96)),"APPUNTAMENTO SALTATO",IF(AND($C96&lt;&gt;"",$C96-TODAY()=1),"CONFERMA DOMANI",IF(AND($C96&lt;&gt;"",$C96-TODAY()=IMPOSTAZIONI!$C$8),"CHIAMA PER CONFERMA",IF(AND($C96&lt;&gt;"",$C96&gt;=TODAY()),"",IF($E96="Sospesa","",IF($E96="Persa","RECUPERA CON INCENTIVO",IF(AND($I96&lt;&gt;"",TODAY()&gt;=EDATE($I96,IMPOSTAZIONI!$C$10)),"RECUPERA CON INCENTIVO",IF($E96="Mantenimento",IF(AND($I96&lt;&gt;"",TODAY()-$I96&gt;=IMPOSTAZIONI!$C$9),"RICHIAMO MANTENIMENTO",""),IF($E96="In ciclo",IF(N($D96)&gt;=IMPOSTAZIONI!$C$5,"ULTIMA SEDUTA",IF(AND($I96&lt;&gt;"",TODAY()-$I96&gt;IMPOSTAZIONI!$C$7),"FUORI FINESTRA","PRENDI APPUNTAMENTO")),IF($E96="Da contattare","PRENDI APPUNTAMENTO","")))))))))))</f>
        <v/>
      </c>
      <c r="T96" s="17">
        <f>IF($S96="","",IFERROR(MATCH($S96,IMPOSTAZIONI!$F$5:$F$12,0),9)*100000000+(9999-MIN(9999,ROUND(N($O96)/100,0)))*10000+ROW())</f>
        <v/>
      </c>
    </row>
    <row r="97">
      <c r="A97" s="11" t="n"/>
      <c r="B97" s="12">
        <f>IF($S97="","",IFERROR(MATCH($S97,IMPOSTAZIONI!$F$5:$F$12,0),9)&amp;" · "&amp;$S97)</f>
        <v/>
      </c>
      <c r="C97" s="13" t="n"/>
      <c r="D97" s="14" t="n"/>
      <c r="E97" s="11" t="n"/>
      <c r="F97" s="15">
        <f>IF($A97="","",IF(LEN(IF(AND($C97&lt;&gt;"",$C97=TODAY())," · oggi in centro","")&amp;IF(AND($C97&lt;&gt;"",$C97&gt;=TODAY(),N($D97)+1&gt;=IMPOSTAZIONI!$C$5)," · ultima del ciclo, proponi il mantenimento","")&amp;IF(AND($C97&lt;&gt;"",$C97&gt;=TODAY(),$I97&lt;&gt;"",$C97-$I97&lt;IMPOSTAZIONI!$C$6)," · rientro anticipato, meno di "&amp;IMPOSTAZIONI!$C$6&amp;" giorni","")&amp;IF(AND($C97&lt;&gt;"",$C97&gt;=TODAY(),$I97&lt;&gt;"",$C97-$I97&gt;IMPOSTAZIONI!$C$7)," · rientro oltre "&amp;IMPOSTAZIONI!$C$7&amp;" giorni",""))=0,"",MID(IF(AND($C97&lt;&gt;"",$C97=TODAY())," · oggi in centro","")&amp;IF(AND($C97&lt;&gt;"",$C97&gt;=TODAY(),N($D97)+1&gt;=IMPOSTAZIONI!$C$5)," · ultima del ciclo, proponi il mantenimento","")&amp;IF(AND($C97&lt;&gt;"",$C97&gt;=TODAY(),$I97&lt;&gt;"",$C97-$I97&lt;IMPOSTAZIONI!$C$6)," · rientro anticipato, meno di "&amp;IMPOSTAZIONI!$C$6&amp;" giorni","")&amp;IF(AND($C97&lt;&gt;"",$C97&gt;=TODAY(),$I97&lt;&gt;"",$C97-$I97&gt;IMPOSTAZIONI!$C$7)," · rientro oltre "&amp;IMPOSTAZIONI!$C$7&amp;" giorni",""),4,300)))</f>
        <v/>
      </c>
      <c r="G97" s="16" t="n"/>
      <c r="H97" s="11" t="n"/>
      <c r="I97" s="13" t="n"/>
      <c r="J97" s="17">
        <f>IF($I97="","",TODAY()-$I97)</f>
        <v/>
      </c>
      <c r="K97" s="17">
        <f>IF($C97="","",$C97-TODAY())</f>
        <v/>
      </c>
      <c r="L97" s="15">
        <f>IF($A97="","",N($D97)&amp;"/"&amp;IMPOSTAZIONI!$C$5)</f>
        <v/>
      </c>
      <c r="M97" s="15">
        <f>IF($S97="","",IF($S97="RECUPERA CON INCENTIVO",INCENTIVI!$C$7,IF($S97="RICHIAMO MANTENIMENTO",INCENTIVI!$C$6,IF(OR($S97="FUORI FINESTRA",$S97="ULTIMA SEDUTA"),INCENTIVI!$C$5,""))))</f>
        <v/>
      </c>
      <c r="N97" s="18" t="n"/>
      <c r="O97" s="19">
        <f>IF($A97="","",N($D97)*N($N97))</f>
        <v/>
      </c>
      <c r="P97" s="19">
        <f>IF($A97="","",MAX(0,(IMPOSTAZIONI!$C$5-N($D97))*N($N97)))</f>
        <v/>
      </c>
      <c r="Q97" s="13" t="n"/>
      <c r="R97" s="11" t="n"/>
      <c r="S97" s="15">
        <f>IF($A97="","",IF(AND($C97&lt;&gt;"",$C97&lt;TODAY(),OR($I97="",$I97&lt;$C97)),"APPUNTAMENTO SALTATO",IF(AND($C97&lt;&gt;"",$C97-TODAY()=1),"CONFERMA DOMANI",IF(AND($C97&lt;&gt;"",$C97-TODAY()=IMPOSTAZIONI!$C$8),"CHIAMA PER CONFERMA",IF(AND($C97&lt;&gt;"",$C97&gt;=TODAY()),"",IF($E97="Sospesa","",IF($E97="Persa","RECUPERA CON INCENTIVO",IF(AND($I97&lt;&gt;"",TODAY()&gt;=EDATE($I97,IMPOSTAZIONI!$C$10)),"RECUPERA CON INCENTIVO",IF($E97="Mantenimento",IF(AND($I97&lt;&gt;"",TODAY()-$I97&gt;=IMPOSTAZIONI!$C$9),"RICHIAMO MANTENIMENTO",""),IF($E97="In ciclo",IF(N($D97)&gt;=IMPOSTAZIONI!$C$5,"ULTIMA SEDUTA",IF(AND($I97&lt;&gt;"",TODAY()-$I97&gt;IMPOSTAZIONI!$C$7),"FUORI FINESTRA","PRENDI APPUNTAMENTO")),IF($E97="Da contattare","PRENDI APPUNTAMENTO","")))))))))))</f>
        <v/>
      </c>
      <c r="T97" s="17">
        <f>IF($S97="","",IFERROR(MATCH($S97,IMPOSTAZIONI!$F$5:$F$12,0),9)*100000000+(9999-MIN(9999,ROUND(N($O97)/100,0)))*10000+ROW())</f>
        <v/>
      </c>
    </row>
    <row r="98">
      <c r="A98" s="11" t="n"/>
      <c r="B98" s="12">
        <f>IF($S98="","",IFERROR(MATCH($S98,IMPOSTAZIONI!$F$5:$F$12,0),9)&amp;" · "&amp;$S98)</f>
        <v/>
      </c>
      <c r="C98" s="13" t="n"/>
      <c r="D98" s="14" t="n"/>
      <c r="E98" s="11" t="n"/>
      <c r="F98" s="15">
        <f>IF($A98="","",IF(LEN(IF(AND($C98&lt;&gt;"",$C98=TODAY())," · oggi in centro","")&amp;IF(AND($C98&lt;&gt;"",$C98&gt;=TODAY(),N($D98)+1&gt;=IMPOSTAZIONI!$C$5)," · ultima del ciclo, proponi il mantenimento","")&amp;IF(AND($C98&lt;&gt;"",$C98&gt;=TODAY(),$I98&lt;&gt;"",$C98-$I98&lt;IMPOSTAZIONI!$C$6)," · rientro anticipato, meno di "&amp;IMPOSTAZIONI!$C$6&amp;" giorni","")&amp;IF(AND($C98&lt;&gt;"",$C98&gt;=TODAY(),$I98&lt;&gt;"",$C98-$I98&gt;IMPOSTAZIONI!$C$7)," · rientro oltre "&amp;IMPOSTAZIONI!$C$7&amp;" giorni",""))=0,"",MID(IF(AND($C98&lt;&gt;"",$C98=TODAY())," · oggi in centro","")&amp;IF(AND($C98&lt;&gt;"",$C98&gt;=TODAY(),N($D98)+1&gt;=IMPOSTAZIONI!$C$5)," · ultima del ciclo, proponi il mantenimento","")&amp;IF(AND($C98&lt;&gt;"",$C98&gt;=TODAY(),$I98&lt;&gt;"",$C98-$I98&lt;IMPOSTAZIONI!$C$6)," · rientro anticipato, meno di "&amp;IMPOSTAZIONI!$C$6&amp;" giorni","")&amp;IF(AND($C98&lt;&gt;"",$C98&gt;=TODAY(),$I98&lt;&gt;"",$C98-$I98&gt;IMPOSTAZIONI!$C$7)," · rientro oltre "&amp;IMPOSTAZIONI!$C$7&amp;" giorni",""),4,300)))</f>
        <v/>
      </c>
      <c r="G98" s="16" t="n"/>
      <c r="H98" s="11" t="n"/>
      <c r="I98" s="13" t="n"/>
      <c r="J98" s="17">
        <f>IF($I98="","",TODAY()-$I98)</f>
        <v/>
      </c>
      <c r="K98" s="17">
        <f>IF($C98="","",$C98-TODAY())</f>
        <v/>
      </c>
      <c r="L98" s="15">
        <f>IF($A98="","",N($D98)&amp;"/"&amp;IMPOSTAZIONI!$C$5)</f>
        <v/>
      </c>
      <c r="M98" s="15">
        <f>IF($S98="","",IF($S98="RECUPERA CON INCENTIVO",INCENTIVI!$C$7,IF($S98="RICHIAMO MANTENIMENTO",INCENTIVI!$C$6,IF(OR($S98="FUORI FINESTRA",$S98="ULTIMA SEDUTA"),INCENTIVI!$C$5,""))))</f>
        <v/>
      </c>
      <c r="N98" s="18" t="n"/>
      <c r="O98" s="19">
        <f>IF($A98="","",N($D98)*N($N98))</f>
        <v/>
      </c>
      <c r="P98" s="19">
        <f>IF($A98="","",MAX(0,(IMPOSTAZIONI!$C$5-N($D98))*N($N98)))</f>
        <v/>
      </c>
      <c r="Q98" s="13" t="n"/>
      <c r="R98" s="11" t="n"/>
      <c r="S98" s="15">
        <f>IF($A98="","",IF(AND($C98&lt;&gt;"",$C98&lt;TODAY(),OR($I98="",$I98&lt;$C98)),"APPUNTAMENTO SALTATO",IF(AND($C98&lt;&gt;"",$C98-TODAY()=1),"CONFERMA DOMANI",IF(AND($C98&lt;&gt;"",$C98-TODAY()=IMPOSTAZIONI!$C$8),"CHIAMA PER CONFERMA",IF(AND($C98&lt;&gt;"",$C98&gt;=TODAY()),"",IF($E98="Sospesa","",IF($E98="Persa","RECUPERA CON INCENTIVO",IF(AND($I98&lt;&gt;"",TODAY()&gt;=EDATE($I98,IMPOSTAZIONI!$C$10)),"RECUPERA CON INCENTIVO",IF($E98="Mantenimento",IF(AND($I98&lt;&gt;"",TODAY()-$I98&gt;=IMPOSTAZIONI!$C$9),"RICHIAMO MANTENIMENTO",""),IF($E98="In ciclo",IF(N($D98)&gt;=IMPOSTAZIONI!$C$5,"ULTIMA SEDUTA",IF(AND($I98&lt;&gt;"",TODAY()-$I98&gt;IMPOSTAZIONI!$C$7),"FUORI FINESTRA","PRENDI APPUNTAMENTO")),IF($E98="Da contattare","PRENDI APPUNTAMENTO","")))))))))))</f>
        <v/>
      </c>
      <c r="T98" s="17">
        <f>IF($S98="","",IFERROR(MATCH($S98,IMPOSTAZIONI!$F$5:$F$12,0),9)*100000000+(9999-MIN(9999,ROUND(N($O98)/100,0)))*10000+ROW())</f>
        <v/>
      </c>
    </row>
    <row r="99">
      <c r="A99" s="11" t="n"/>
      <c r="B99" s="12">
        <f>IF($S99="","",IFERROR(MATCH($S99,IMPOSTAZIONI!$F$5:$F$12,0),9)&amp;" · "&amp;$S99)</f>
        <v/>
      </c>
      <c r="C99" s="13" t="n"/>
      <c r="D99" s="14" t="n"/>
      <c r="E99" s="11" t="n"/>
      <c r="F99" s="15">
        <f>IF($A99="","",IF(LEN(IF(AND($C99&lt;&gt;"",$C99=TODAY())," · oggi in centro","")&amp;IF(AND($C99&lt;&gt;"",$C99&gt;=TODAY(),N($D99)+1&gt;=IMPOSTAZIONI!$C$5)," · ultima del ciclo, proponi il mantenimento","")&amp;IF(AND($C99&lt;&gt;"",$C99&gt;=TODAY(),$I99&lt;&gt;"",$C99-$I99&lt;IMPOSTAZIONI!$C$6)," · rientro anticipato, meno di "&amp;IMPOSTAZIONI!$C$6&amp;" giorni","")&amp;IF(AND($C99&lt;&gt;"",$C99&gt;=TODAY(),$I99&lt;&gt;"",$C99-$I99&gt;IMPOSTAZIONI!$C$7)," · rientro oltre "&amp;IMPOSTAZIONI!$C$7&amp;" giorni",""))=0,"",MID(IF(AND($C99&lt;&gt;"",$C99=TODAY())," · oggi in centro","")&amp;IF(AND($C99&lt;&gt;"",$C99&gt;=TODAY(),N($D99)+1&gt;=IMPOSTAZIONI!$C$5)," · ultima del ciclo, proponi il mantenimento","")&amp;IF(AND($C99&lt;&gt;"",$C99&gt;=TODAY(),$I99&lt;&gt;"",$C99-$I99&lt;IMPOSTAZIONI!$C$6)," · rientro anticipato, meno di "&amp;IMPOSTAZIONI!$C$6&amp;" giorni","")&amp;IF(AND($C99&lt;&gt;"",$C99&gt;=TODAY(),$I99&lt;&gt;"",$C99-$I99&gt;IMPOSTAZIONI!$C$7)," · rientro oltre "&amp;IMPOSTAZIONI!$C$7&amp;" giorni",""),4,300)))</f>
        <v/>
      </c>
      <c r="G99" s="16" t="n"/>
      <c r="H99" s="11" t="n"/>
      <c r="I99" s="13" t="n"/>
      <c r="J99" s="17">
        <f>IF($I99="","",TODAY()-$I99)</f>
        <v/>
      </c>
      <c r="K99" s="17">
        <f>IF($C99="","",$C99-TODAY())</f>
        <v/>
      </c>
      <c r="L99" s="15">
        <f>IF($A99="","",N($D99)&amp;"/"&amp;IMPOSTAZIONI!$C$5)</f>
        <v/>
      </c>
      <c r="M99" s="15">
        <f>IF($S99="","",IF($S99="RECUPERA CON INCENTIVO",INCENTIVI!$C$7,IF($S99="RICHIAMO MANTENIMENTO",INCENTIVI!$C$6,IF(OR($S99="FUORI FINESTRA",$S99="ULTIMA SEDUTA"),INCENTIVI!$C$5,""))))</f>
        <v/>
      </c>
      <c r="N99" s="18" t="n"/>
      <c r="O99" s="19">
        <f>IF($A99="","",N($D99)*N($N99))</f>
        <v/>
      </c>
      <c r="P99" s="19">
        <f>IF($A99="","",MAX(0,(IMPOSTAZIONI!$C$5-N($D99))*N($N99)))</f>
        <v/>
      </c>
      <c r="Q99" s="13" t="n"/>
      <c r="R99" s="11" t="n"/>
      <c r="S99" s="15">
        <f>IF($A99="","",IF(AND($C99&lt;&gt;"",$C99&lt;TODAY(),OR($I99="",$I99&lt;$C99)),"APPUNTAMENTO SALTATO",IF(AND($C99&lt;&gt;"",$C99-TODAY()=1),"CONFERMA DOMANI",IF(AND($C99&lt;&gt;"",$C99-TODAY()=IMPOSTAZIONI!$C$8),"CHIAMA PER CONFERMA",IF(AND($C99&lt;&gt;"",$C99&gt;=TODAY()),"",IF($E99="Sospesa","",IF($E99="Persa","RECUPERA CON INCENTIVO",IF(AND($I99&lt;&gt;"",TODAY()&gt;=EDATE($I99,IMPOSTAZIONI!$C$10)),"RECUPERA CON INCENTIVO",IF($E99="Mantenimento",IF(AND($I99&lt;&gt;"",TODAY()-$I99&gt;=IMPOSTAZIONI!$C$9),"RICHIAMO MANTENIMENTO",""),IF($E99="In ciclo",IF(N($D99)&gt;=IMPOSTAZIONI!$C$5,"ULTIMA SEDUTA",IF(AND($I99&lt;&gt;"",TODAY()-$I99&gt;IMPOSTAZIONI!$C$7),"FUORI FINESTRA","PRENDI APPUNTAMENTO")),IF($E99="Da contattare","PRENDI APPUNTAMENTO","")))))))))))</f>
        <v/>
      </c>
      <c r="T99" s="17">
        <f>IF($S99="","",IFERROR(MATCH($S99,IMPOSTAZIONI!$F$5:$F$12,0),9)*100000000+(9999-MIN(9999,ROUND(N($O99)/100,0)))*10000+ROW())</f>
        <v/>
      </c>
    </row>
    <row r="100">
      <c r="A100" s="11" t="n"/>
      <c r="B100" s="12">
        <f>IF($S100="","",IFERROR(MATCH($S100,IMPOSTAZIONI!$F$5:$F$12,0),9)&amp;" · "&amp;$S100)</f>
        <v/>
      </c>
      <c r="C100" s="13" t="n"/>
      <c r="D100" s="14" t="n"/>
      <c r="E100" s="11" t="n"/>
      <c r="F100" s="15">
        <f>IF($A100="","",IF(LEN(IF(AND($C100&lt;&gt;"",$C100=TODAY())," · oggi in centro","")&amp;IF(AND($C100&lt;&gt;"",$C100&gt;=TODAY(),N($D100)+1&gt;=IMPOSTAZIONI!$C$5)," · ultima del ciclo, proponi il mantenimento","")&amp;IF(AND($C100&lt;&gt;"",$C100&gt;=TODAY(),$I100&lt;&gt;"",$C100-$I100&lt;IMPOSTAZIONI!$C$6)," · rientro anticipato, meno di "&amp;IMPOSTAZIONI!$C$6&amp;" giorni","")&amp;IF(AND($C100&lt;&gt;"",$C100&gt;=TODAY(),$I100&lt;&gt;"",$C100-$I100&gt;IMPOSTAZIONI!$C$7)," · rientro oltre "&amp;IMPOSTAZIONI!$C$7&amp;" giorni",""))=0,"",MID(IF(AND($C100&lt;&gt;"",$C100=TODAY())," · oggi in centro","")&amp;IF(AND($C100&lt;&gt;"",$C100&gt;=TODAY(),N($D100)+1&gt;=IMPOSTAZIONI!$C$5)," · ultima del ciclo, proponi il mantenimento","")&amp;IF(AND($C100&lt;&gt;"",$C100&gt;=TODAY(),$I100&lt;&gt;"",$C100-$I100&lt;IMPOSTAZIONI!$C$6)," · rientro anticipato, meno di "&amp;IMPOSTAZIONI!$C$6&amp;" giorni","")&amp;IF(AND($C100&lt;&gt;"",$C100&gt;=TODAY(),$I100&lt;&gt;"",$C100-$I100&gt;IMPOSTAZIONI!$C$7)," · rientro oltre "&amp;IMPOSTAZIONI!$C$7&amp;" giorni",""),4,300)))</f>
        <v/>
      </c>
      <c r="G100" s="16" t="n"/>
      <c r="H100" s="11" t="n"/>
      <c r="I100" s="13" t="n"/>
      <c r="J100" s="17">
        <f>IF($I100="","",TODAY()-$I100)</f>
        <v/>
      </c>
      <c r="K100" s="17">
        <f>IF($C100="","",$C100-TODAY())</f>
        <v/>
      </c>
      <c r="L100" s="15">
        <f>IF($A100="","",N($D100)&amp;"/"&amp;IMPOSTAZIONI!$C$5)</f>
        <v/>
      </c>
      <c r="M100" s="15">
        <f>IF($S100="","",IF($S100="RECUPERA CON INCENTIVO",INCENTIVI!$C$7,IF($S100="RICHIAMO MANTENIMENTO",INCENTIVI!$C$6,IF(OR($S100="FUORI FINESTRA",$S100="ULTIMA SEDUTA"),INCENTIVI!$C$5,""))))</f>
        <v/>
      </c>
      <c r="N100" s="18" t="n"/>
      <c r="O100" s="19">
        <f>IF($A100="","",N($D100)*N($N100))</f>
        <v/>
      </c>
      <c r="P100" s="19">
        <f>IF($A100="","",MAX(0,(IMPOSTAZIONI!$C$5-N($D100))*N($N100)))</f>
        <v/>
      </c>
      <c r="Q100" s="13" t="n"/>
      <c r="R100" s="11" t="n"/>
      <c r="S100" s="15">
        <f>IF($A100="","",IF(AND($C100&lt;&gt;"",$C100&lt;TODAY(),OR($I100="",$I100&lt;$C100)),"APPUNTAMENTO SALTATO",IF(AND($C100&lt;&gt;"",$C100-TODAY()=1),"CONFERMA DOMANI",IF(AND($C100&lt;&gt;"",$C100-TODAY()=IMPOSTAZIONI!$C$8),"CHIAMA PER CONFERMA",IF(AND($C100&lt;&gt;"",$C100&gt;=TODAY()),"",IF($E100="Sospesa","",IF($E100="Persa","RECUPERA CON INCENTIVO",IF(AND($I100&lt;&gt;"",TODAY()&gt;=EDATE($I100,IMPOSTAZIONI!$C$10)),"RECUPERA CON INCENTIVO",IF($E100="Mantenimento",IF(AND($I100&lt;&gt;"",TODAY()-$I100&gt;=IMPOSTAZIONI!$C$9),"RICHIAMO MANTENIMENTO",""),IF($E100="In ciclo",IF(N($D100)&gt;=IMPOSTAZIONI!$C$5,"ULTIMA SEDUTA",IF(AND($I100&lt;&gt;"",TODAY()-$I100&gt;IMPOSTAZIONI!$C$7),"FUORI FINESTRA","PRENDI APPUNTAMENTO")),IF($E100="Da contattare","PRENDI APPUNTAMENTO","")))))))))))</f>
        <v/>
      </c>
      <c r="T100" s="17">
        <f>IF($S100="","",IFERROR(MATCH($S100,IMPOSTAZIONI!$F$5:$F$12,0),9)*100000000+(9999-MIN(9999,ROUND(N($O100)/100,0)))*10000+ROW())</f>
        <v/>
      </c>
    </row>
    <row r="101">
      <c r="A101" s="11" t="n"/>
      <c r="B101" s="12">
        <f>IF($S101="","",IFERROR(MATCH($S101,IMPOSTAZIONI!$F$5:$F$12,0),9)&amp;" · "&amp;$S101)</f>
        <v/>
      </c>
      <c r="C101" s="13" t="n"/>
      <c r="D101" s="14" t="n"/>
      <c r="E101" s="11" t="n"/>
      <c r="F101" s="15">
        <f>IF($A101="","",IF(LEN(IF(AND($C101&lt;&gt;"",$C101=TODAY())," · oggi in centro","")&amp;IF(AND($C101&lt;&gt;"",$C101&gt;=TODAY(),N($D101)+1&gt;=IMPOSTAZIONI!$C$5)," · ultima del ciclo, proponi il mantenimento","")&amp;IF(AND($C101&lt;&gt;"",$C101&gt;=TODAY(),$I101&lt;&gt;"",$C101-$I101&lt;IMPOSTAZIONI!$C$6)," · rientro anticipato, meno di "&amp;IMPOSTAZIONI!$C$6&amp;" giorni","")&amp;IF(AND($C101&lt;&gt;"",$C101&gt;=TODAY(),$I101&lt;&gt;"",$C101-$I101&gt;IMPOSTAZIONI!$C$7)," · rientro oltre "&amp;IMPOSTAZIONI!$C$7&amp;" giorni",""))=0,"",MID(IF(AND($C101&lt;&gt;"",$C101=TODAY())," · oggi in centro","")&amp;IF(AND($C101&lt;&gt;"",$C101&gt;=TODAY(),N($D101)+1&gt;=IMPOSTAZIONI!$C$5)," · ultima del ciclo, proponi il mantenimento","")&amp;IF(AND($C101&lt;&gt;"",$C101&gt;=TODAY(),$I101&lt;&gt;"",$C101-$I101&lt;IMPOSTAZIONI!$C$6)," · rientro anticipato, meno di "&amp;IMPOSTAZIONI!$C$6&amp;" giorni","")&amp;IF(AND($C101&lt;&gt;"",$C101&gt;=TODAY(),$I101&lt;&gt;"",$C101-$I101&gt;IMPOSTAZIONI!$C$7)," · rientro oltre "&amp;IMPOSTAZIONI!$C$7&amp;" giorni",""),4,300)))</f>
        <v/>
      </c>
      <c r="G101" s="16" t="n"/>
      <c r="H101" s="11" t="n"/>
      <c r="I101" s="13" t="n"/>
      <c r="J101" s="17">
        <f>IF($I101="","",TODAY()-$I101)</f>
        <v/>
      </c>
      <c r="K101" s="17">
        <f>IF($C101="","",$C101-TODAY())</f>
        <v/>
      </c>
      <c r="L101" s="15">
        <f>IF($A101="","",N($D101)&amp;"/"&amp;IMPOSTAZIONI!$C$5)</f>
        <v/>
      </c>
      <c r="M101" s="15">
        <f>IF($S101="","",IF($S101="RECUPERA CON INCENTIVO",INCENTIVI!$C$7,IF($S101="RICHIAMO MANTENIMENTO",INCENTIVI!$C$6,IF(OR($S101="FUORI FINESTRA",$S101="ULTIMA SEDUTA"),INCENTIVI!$C$5,""))))</f>
        <v/>
      </c>
      <c r="N101" s="18" t="n"/>
      <c r="O101" s="19">
        <f>IF($A101="","",N($D101)*N($N101))</f>
        <v/>
      </c>
      <c r="P101" s="19">
        <f>IF($A101="","",MAX(0,(IMPOSTAZIONI!$C$5-N($D101))*N($N101)))</f>
        <v/>
      </c>
      <c r="Q101" s="13" t="n"/>
      <c r="R101" s="11" t="n"/>
      <c r="S101" s="15">
        <f>IF($A101="","",IF(AND($C101&lt;&gt;"",$C101&lt;TODAY(),OR($I101="",$I101&lt;$C101)),"APPUNTAMENTO SALTATO",IF(AND($C101&lt;&gt;"",$C101-TODAY()=1),"CONFERMA DOMANI",IF(AND($C101&lt;&gt;"",$C101-TODAY()=IMPOSTAZIONI!$C$8),"CHIAMA PER CONFERMA",IF(AND($C101&lt;&gt;"",$C101&gt;=TODAY()),"",IF($E101="Sospesa","",IF($E101="Persa","RECUPERA CON INCENTIVO",IF(AND($I101&lt;&gt;"",TODAY()&gt;=EDATE($I101,IMPOSTAZIONI!$C$10)),"RECUPERA CON INCENTIVO",IF($E101="Mantenimento",IF(AND($I101&lt;&gt;"",TODAY()-$I101&gt;=IMPOSTAZIONI!$C$9),"RICHIAMO MANTENIMENTO",""),IF($E101="In ciclo",IF(N($D101)&gt;=IMPOSTAZIONI!$C$5,"ULTIMA SEDUTA",IF(AND($I101&lt;&gt;"",TODAY()-$I101&gt;IMPOSTAZIONI!$C$7),"FUORI FINESTRA","PRENDI APPUNTAMENTO")),IF($E101="Da contattare","PRENDI APPUNTAMENTO","")))))))))))</f>
        <v/>
      </c>
      <c r="T101" s="17">
        <f>IF($S101="","",IFERROR(MATCH($S101,IMPOSTAZIONI!$F$5:$F$12,0),9)*100000000+(9999-MIN(9999,ROUND(N($O101)/100,0)))*10000+ROW())</f>
        <v/>
      </c>
    </row>
    <row r="102">
      <c r="A102" s="11" t="n"/>
      <c r="B102" s="12">
        <f>IF($S102="","",IFERROR(MATCH($S102,IMPOSTAZIONI!$F$5:$F$12,0),9)&amp;" · "&amp;$S102)</f>
        <v/>
      </c>
      <c r="C102" s="13" t="n"/>
      <c r="D102" s="14" t="n"/>
      <c r="E102" s="11" t="n"/>
      <c r="F102" s="15">
        <f>IF($A102="","",IF(LEN(IF(AND($C102&lt;&gt;"",$C102=TODAY())," · oggi in centro","")&amp;IF(AND($C102&lt;&gt;"",$C102&gt;=TODAY(),N($D102)+1&gt;=IMPOSTAZIONI!$C$5)," · ultima del ciclo, proponi il mantenimento","")&amp;IF(AND($C102&lt;&gt;"",$C102&gt;=TODAY(),$I102&lt;&gt;"",$C102-$I102&lt;IMPOSTAZIONI!$C$6)," · rientro anticipato, meno di "&amp;IMPOSTAZIONI!$C$6&amp;" giorni","")&amp;IF(AND($C102&lt;&gt;"",$C102&gt;=TODAY(),$I102&lt;&gt;"",$C102-$I102&gt;IMPOSTAZIONI!$C$7)," · rientro oltre "&amp;IMPOSTAZIONI!$C$7&amp;" giorni",""))=0,"",MID(IF(AND($C102&lt;&gt;"",$C102=TODAY())," · oggi in centro","")&amp;IF(AND($C102&lt;&gt;"",$C102&gt;=TODAY(),N($D102)+1&gt;=IMPOSTAZIONI!$C$5)," · ultima del ciclo, proponi il mantenimento","")&amp;IF(AND($C102&lt;&gt;"",$C102&gt;=TODAY(),$I102&lt;&gt;"",$C102-$I102&lt;IMPOSTAZIONI!$C$6)," · rientro anticipato, meno di "&amp;IMPOSTAZIONI!$C$6&amp;" giorni","")&amp;IF(AND($C102&lt;&gt;"",$C102&gt;=TODAY(),$I102&lt;&gt;"",$C102-$I102&gt;IMPOSTAZIONI!$C$7)," · rientro oltre "&amp;IMPOSTAZIONI!$C$7&amp;" giorni",""),4,300)))</f>
        <v/>
      </c>
      <c r="G102" s="16" t="n"/>
      <c r="H102" s="11" t="n"/>
      <c r="I102" s="13" t="n"/>
      <c r="J102" s="17">
        <f>IF($I102="","",TODAY()-$I102)</f>
        <v/>
      </c>
      <c r="K102" s="17">
        <f>IF($C102="","",$C102-TODAY())</f>
        <v/>
      </c>
      <c r="L102" s="15">
        <f>IF($A102="","",N($D102)&amp;"/"&amp;IMPOSTAZIONI!$C$5)</f>
        <v/>
      </c>
      <c r="M102" s="15">
        <f>IF($S102="","",IF($S102="RECUPERA CON INCENTIVO",INCENTIVI!$C$7,IF($S102="RICHIAMO MANTENIMENTO",INCENTIVI!$C$6,IF(OR($S102="FUORI FINESTRA",$S102="ULTIMA SEDUTA"),INCENTIVI!$C$5,""))))</f>
        <v/>
      </c>
      <c r="N102" s="18" t="n"/>
      <c r="O102" s="19">
        <f>IF($A102="","",N($D102)*N($N102))</f>
        <v/>
      </c>
      <c r="P102" s="19">
        <f>IF($A102="","",MAX(0,(IMPOSTAZIONI!$C$5-N($D102))*N($N102)))</f>
        <v/>
      </c>
      <c r="Q102" s="13" t="n"/>
      <c r="R102" s="11" t="n"/>
      <c r="S102" s="15">
        <f>IF($A102="","",IF(AND($C102&lt;&gt;"",$C102&lt;TODAY(),OR($I102="",$I102&lt;$C102)),"APPUNTAMENTO SALTATO",IF(AND($C102&lt;&gt;"",$C102-TODAY()=1),"CONFERMA DOMANI",IF(AND($C102&lt;&gt;"",$C102-TODAY()=IMPOSTAZIONI!$C$8),"CHIAMA PER CONFERMA",IF(AND($C102&lt;&gt;"",$C102&gt;=TODAY()),"",IF($E102="Sospesa","",IF($E102="Persa","RECUPERA CON INCENTIVO",IF(AND($I102&lt;&gt;"",TODAY()&gt;=EDATE($I102,IMPOSTAZIONI!$C$10)),"RECUPERA CON INCENTIVO",IF($E102="Mantenimento",IF(AND($I102&lt;&gt;"",TODAY()-$I102&gt;=IMPOSTAZIONI!$C$9),"RICHIAMO MANTENIMENTO",""),IF($E102="In ciclo",IF(N($D102)&gt;=IMPOSTAZIONI!$C$5,"ULTIMA SEDUTA",IF(AND($I102&lt;&gt;"",TODAY()-$I102&gt;IMPOSTAZIONI!$C$7),"FUORI FINESTRA","PRENDI APPUNTAMENTO")),IF($E102="Da contattare","PRENDI APPUNTAMENTO","")))))))))))</f>
        <v/>
      </c>
      <c r="T102" s="17">
        <f>IF($S102="","",IFERROR(MATCH($S102,IMPOSTAZIONI!$F$5:$F$12,0),9)*100000000+(9999-MIN(9999,ROUND(N($O102)/100,0)))*10000+ROW())</f>
        <v/>
      </c>
    </row>
    <row r="103">
      <c r="A103" s="11" t="n"/>
      <c r="B103" s="12">
        <f>IF($S103="","",IFERROR(MATCH($S103,IMPOSTAZIONI!$F$5:$F$12,0),9)&amp;" · "&amp;$S103)</f>
        <v/>
      </c>
      <c r="C103" s="13" t="n"/>
      <c r="D103" s="14" t="n"/>
      <c r="E103" s="11" t="n"/>
      <c r="F103" s="15">
        <f>IF($A103="","",IF(LEN(IF(AND($C103&lt;&gt;"",$C103=TODAY())," · oggi in centro","")&amp;IF(AND($C103&lt;&gt;"",$C103&gt;=TODAY(),N($D103)+1&gt;=IMPOSTAZIONI!$C$5)," · ultima del ciclo, proponi il mantenimento","")&amp;IF(AND($C103&lt;&gt;"",$C103&gt;=TODAY(),$I103&lt;&gt;"",$C103-$I103&lt;IMPOSTAZIONI!$C$6)," · rientro anticipato, meno di "&amp;IMPOSTAZIONI!$C$6&amp;" giorni","")&amp;IF(AND($C103&lt;&gt;"",$C103&gt;=TODAY(),$I103&lt;&gt;"",$C103-$I103&gt;IMPOSTAZIONI!$C$7)," · rientro oltre "&amp;IMPOSTAZIONI!$C$7&amp;" giorni",""))=0,"",MID(IF(AND($C103&lt;&gt;"",$C103=TODAY())," · oggi in centro","")&amp;IF(AND($C103&lt;&gt;"",$C103&gt;=TODAY(),N($D103)+1&gt;=IMPOSTAZIONI!$C$5)," · ultima del ciclo, proponi il mantenimento","")&amp;IF(AND($C103&lt;&gt;"",$C103&gt;=TODAY(),$I103&lt;&gt;"",$C103-$I103&lt;IMPOSTAZIONI!$C$6)," · rientro anticipato, meno di "&amp;IMPOSTAZIONI!$C$6&amp;" giorni","")&amp;IF(AND($C103&lt;&gt;"",$C103&gt;=TODAY(),$I103&lt;&gt;"",$C103-$I103&gt;IMPOSTAZIONI!$C$7)," · rientro oltre "&amp;IMPOSTAZIONI!$C$7&amp;" giorni",""),4,300)))</f>
        <v/>
      </c>
      <c r="G103" s="16" t="n"/>
      <c r="H103" s="11" t="n"/>
      <c r="I103" s="13" t="n"/>
      <c r="J103" s="17">
        <f>IF($I103="","",TODAY()-$I103)</f>
        <v/>
      </c>
      <c r="K103" s="17">
        <f>IF($C103="","",$C103-TODAY())</f>
        <v/>
      </c>
      <c r="L103" s="15">
        <f>IF($A103="","",N($D103)&amp;"/"&amp;IMPOSTAZIONI!$C$5)</f>
        <v/>
      </c>
      <c r="M103" s="15">
        <f>IF($S103="","",IF($S103="RECUPERA CON INCENTIVO",INCENTIVI!$C$7,IF($S103="RICHIAMO MANTENIMENTO",INCENTIVI!$C$6,IF(OR($S103="FUORI FINESTRA",$S103="ULTIMA SEDUTA"),INCENTIVI!$C$5,""))))</f>
        <v/>
      </c>
      <c r="N103" s="18" t="n"/>
      <c r="O103" s="19">
        <f>IF($A103="","",N($D103)*N($N103))</f>
        <v/>
      </c>
      <c r="P103" s="19">
        <f>IF($A103="","",MAX(0,(IMPOSTAZIONI!$C$5-N($D103))*N($N103)))</f>
        <v/>
      </c>
      <c r="Q103" s="13" t="n"/>
      <c r="R103" s="11" t="n"/>
      <c r="S103" s="15">
        <f>IF($A103="","",IF(AND($C103&lt;&gt;"",$C103&lt;TODAY(),OR($I103="",$I103&lt;$C103)),"APPUNTAMENTO SALTATO",IF(AND($C103&lt;&gt;"",$C103-TODAY()=1),"CONFERMA DOMANI",IF(AND($C103&lt;&gt;"",$C103-TODAY()=IMPOSTAZIONI!$C$8),"CHIAMA PER CONFERMA",IF(AND($C103&lt;&gt;"",$C103&gt;=TODAY()),"",IF($E103="Sospesa","",IF($E103="Persa","RECUPERA CON INCENTIVO",IF(AND($I103&lt;&gt;"",TODAY()&gt;=EDATE($I103,IMPOSTAZIONI!$C$10)),"RECUPERA CON INCENTIVO",IF($E103="Mantenimento",IF(AND($I103&lt;&gt;"",TODAY()-$I103&gt;=IMPOSTAZIONI!$C$9),"RICHIAMO MANTENIMENTO",""),IF($E103="In ciclo",IF(N($D103)&gt;=IMPOSTAZIONI!$C$5,"ULTIMA SEDUTA",IF(AND($I103&lt;&gt;"",TODAY()-$I103&gt;IMPOSTAZIONI!$C$7),"FUORI FINESTRA","PRENDI APPUNTAMENTO")),IF($E103="Da contattare","PRENDI APPUNTAMENTO","")))))))))))</f>
        <v/>
      </c>
      <c r="T103" s="17">
        <f>IF($S103="","",IFERROR(MATCH($S103,IMPOSTAZIONI!$F$5:$F$12,0),9)*100000000+(9999-MIN(9999,ROUND(N($O103)/100,0)))*10000+ROW())</f>
        <v/>
      </c>
    </row>
    <row r="104">
      <c r="A104" s="11" t="n"/>
      <c r="B104" s="12">
        <f>IF($S104="","",IFERROR(MATCH($S104,IMPOSTAZIONI!$F$5:$F$12,0),9)&amp;" · "&amp;$S104)</f>
        <v/>
      </c>
      <c r="C104" s="13" t="n"/>
      <c r="D104" s="14" t="n"/>
      <c r="E104" s="11" t="n"/>
      <c r="F104" s="15">
        <f>IF($A104="","",IF(LEN(IF(AND($C104&lt;&gt;"",$C104=TODAY())," · oggi in centro","")&amp;IF(AND($C104&lt;&gt;"",$C104&gt;=TODAY(),N($D104)+1&gt;=IMPOSTAZIONI!$C$5)," · ultima del ciclo, proponi il mantenimento","")&amp;IF(AND($C104&lt;&gt;"",$C104&gt;=TODAY(),$I104&lt;&gt;"",$C104-$I104&lt;IMPOSTAZIONI!$C$6)," · rientro anticipato, meno di "&amp;IMPOSTAZIONI!$C$6&amp;" giorni","")&amp;IF(AND($C104&lt;&gt;"",$C104&gt;=TODAY(),$I104&lt;&gt;"",$C104-$I104&gt;IMPOSTAZIONI!$C$7)," · rientro oltre "&amp;IMPOSTAZIONI!$C$7&amp;" giorni",""))=0,"",MID(IF(AND($C104&lt;&gt;"",$C104=TODAY())," · oggi in centro","")&amp;IF(AND($C104&lt;&gt;"",$C104&gt;=TODAY(),N($D104)+1&gt;=IMPOSTAZIONI!$C$5)," · ultima del ciclo, proponi il mantenimento","")&amp;IF(AND($C104&lt;&gt;"",$C104&gt;=TODAY(),$I104&lt;&gt;"",$C104-$I104&lt;IMPOSTAZIONI!$C$6)," · rientro anticipato, meno di "&amp;IMPOSTAZIONI!$C$6&amp;" giorni","")&amp;IF(AND($C104&lt;&gt;"",$C104&gt;=TODAY(),$I104&lt;&gt;"",$C104-$I104&gt;IMPOSTAZIONI!$C$7)," · rientro oltre "&amp;IMPOSTAZIONI!$C$7&amp;" giorni",""),4,300)))</f>
        <v/>
      </c>
      <c r="G104" s="16" t="n"/>
      <c r="H104" s="11" t="n"/>
      <c r="I104" s="13" t="n"/>
      <c r="J104" s="17">
        <f>IF($I104="","",TODAY()-$I104)</f>
        <v/>
      </c>
      <c r="K104" s="17">
        <f>IF($C104="","",$C104-TODAY())</f>
        <v/>
      </c>
      <c r="L104" s="15">
        <f>IF($A104="","",N($D104)&amp;"/"&amp;IMPOSTAZIONI!$C$5)</f>
        <v/>
      </c>
      <c r="M104" s="15">
        <f>IF($S104="","",IF($S104="RECUPERA CON INCENTIVO",INCENTIVI!$C$7,IF($S104="RICHIAMO MANTENIMENTO",INCENTIVI!$C$6,IF(OR($S104="FUORI FINESTRA",$S104="ULTIMA SEDUTA"),INCENTIVI!$C$5,""))))</f>
        <v/>
      </c>
      <c r="N104" s="18" t="n"/>
      <c r="O104" s="19">
        <f>IF($A104="","",N($D104)*N($N104))</f>
        <v/>
      </c>
      <c r="P104" s="19">
        <f>IF($A104="","",MAX(0,(IMPOSTAZIONI!$C$5-N($D104))*N($N104)))</f>
        <v/>
      </c>
      <c r="Q104" s="13" t="n"/>
      <c r="R104" s="11" t="n"/>
      <c r="S104" s="15">
        <f>IF($A104="","",IF(AND($C104&lt;&gt;"",$C104&lt;TODAY(),OR($I104="",$I104&lt;$C104)),"APPUNTAMENTO SALTATO",IF(AND($C104&lt;&gt;"",$C104-TODAY()=1),"CONFERMA DOMANI",IF(AND($C104&lt;&gt;"",$C104-TODAY()=IMPOSTAZIONI!$C$8),"CHIAMA PER CONFERMA",IF(AND($C104&lt;&gt;"",$C104&gt;=TODAY()),"",IF($E104="Sospesa","",IF($E104="Persa","RECUPERA CON INCENTIVO",IF(AND($I104&lt;&gt;"",TODAY()&gt;=EDATE($I104,IMPOSTAZIONI!$C$10)),"RECUPERA CON INCENTIVO",IF($E104="Mantenimento",IF(AND($I104&lt;&gt;"",TODAY()-$I104&gt;=IMPOSTAZIONI!$C$9),"RICHIAMO MANTENIMENTO",""),IF($E104="In ciclo",IF(N($D104)&gt;=IMPOSTAZIONI!$C$5,"ULTIMA SEDUTA",IF(AND($I104&lt;&gt;"",TODAY()-$I104&gt;IMPOSTAZIONI!$C$7),"FUORI FINESTRA","PRENDI APPUNTAMENTO")),IF($E104="Da contattare","PRENDI APPUNTAMENTO","")))))))))))</f>
        <v/>
      </c>
      <c r="T104" s="17">
        <f>IF($S104="","",IFERROR(MATCH($S104,IMPOSTAZIONI!$F$5:$F$12,0),9)*100000000+(9999-MIN(9999,ROUND(N($O104)/100,0)))*10000+ROW())</f>
        <v/>
      </c>
    </row>
    <row r="105">
      <c r="A105" s="11" t="n"/>
      <c r="B105" s="12">
        <f>IF($S105="","",IFERROR(MATCH($S105,IMPOSTAZIONI!$F$5:$F$12,0),9)&amp;" · "&amp;$S105)</f>
        <v/>
      </c>
      <c r="C105" s="13" t="n"/>
      <c r="D105" s="14" t="n"/>
      <c r="E105" s="11" t="n"/>
      <c r="F105" s="15">
        <f>IF($A105="","",IF(LEN(IF(AND($C105&lt;&gt;"",$C105=TODAY())," · oggi in centro","")&amp;IF(AND($C105&lt;&gt;"",$C105&gt;=TODAY(),N($D105)+1&gt;=IMPOSTAZIONI!$C$5)," · ultima del ciclo, proponi il mantenimento","")&amp;IF(AND($C105&lt;&gt;"",$C105&gt;=TODAY(),$I105&lt;&gt;"",$C105-$I105&lt;IMPOSTAZIONI!$C$6)," · rientro anticipato, meno di "&amp;IMPOSTAZIONI!$C$6&amp;" giorni","")&amp;IF(AND($C105&lt;&gt;"",$C105&gt;=TODAY(),$I105&lt;&gt;"",$C105-$I105&gt;IMPOSTAZIONI!$C$7)," · rientro oltre "&amp;IMPOSTAZIONI!$C$7&amp;" giorni",""))=0,"",MID(IF(AND($C105&lt;&gt;"",$C105=TODAY())," · oggi in centro","")&amp;IF(AND($C105&lt;&gt;"",$C105&gt;=TODAY(),N($D105)+1&gt;=IMPOSTAZIONI!$C$5)," · ultima del ciclo, proponi il mantenimento","")&amp;IF(AND($C105&lt;&gt;"",$C105&gt;=TODAY(),$I105&lt;&gt;"",$C105-$I105&lt;IMPOSTAZIONI!$C$6)," · rientro anticipato, meno di "&amp;IMPOSTAZIONI!$C$6&amp;" giorni","")&amp;IF(AND($C105&lt;&gt;"",$C105&gt;=TODAY(),$I105&lt;&gt;"",$C105-$I105&gt;IMPOSTAZIONI!$C$7)," · rientro oltre "&amp;IMPOSTAZIONI!$C$7&amp;" giorni",""),4,300)))</f>
        <v/>
      </c>
      <c r="G105" s="16" t="n"/>
      <c r="H105" s="11" t="n"/>
      <c r="I105" s="13" t="n"/>
      <c r="J105" s="17">
        <f>IF($I105="","",TODAY()-$I105)</f>
        <v/>
      </c>
      <c r="K105" s="17">
        <f>IF($C105="","",$C105-TODAY())</f>
        <v/>
      </c>
      <c r="L105" s="15">
        <f>IF($A105="","",N($D105)&amp;"/"&amp;IMPOSTAZIONI!$C$5)</f>
        <v/>
      </c>
      <c r="M105" s="15">
        <f>IF($S105="","",IF($S105="RECUPERA CON INCENTIVO",INCENTIVI!$C$7,IF($S105="RICHIAMO MANTENIMENTO",INCENTIVI!$C$6,IF(OR($S105="FUORI FINESTRA",$S105="ULTIMA SEDUTA"),INCENTIVI!$C$5,""))))</f>
        <v/>
      </c>
      <c r="N105" s="18" t="n"/>
      <c r="O105" s="19">
        <f>IF($A105="","",N($D105)*N($N105))</f>
        <v/>
      </c>
      <c r="P105" s="19">
        <f>IF($A105="","",MAX(0,(IMPOSTAZIONI!$C$5-N($D105))*N($N105)))</f>
        <v/>
      </c>
      <c r="Q105" s="13" t="n"/>
      <c r="R105" s="11" t="n"/>
      <c r="S105" s="15">
        <f>IF($A105="","",IF(AND($C105&lt;&gt;"",$C105&lt;TODAY(),OR($I105="",$I105&lt;$C105)),"APPUNTAMENTO SALTATO",IF(AND($C105&lt;&gt;"",$C105-TODAY()=1),"CONFERMA DOMANI",IF(AND($C105&lt;&gt;"",$C105-TODAY()=IMPOSTAZIONI!$C$8),"CHIAMA PER CONFERMA",IF(AND($C105&lt;&gt;"",$C105&gt;=TODAY()),"",IF($E105="Sospesa","",IF($E105="Persa","RECUPERA CON INCENTIVO",IF(AND($I105&lt;&gt;"",TODAY()&gt;=EDATE($I105,IMPOSTAZIONI!$C$10)),"RECUPERA CON INCENTIVO",IF($E105="Mantenimento",IF(AND($I105&lt;&gt;"",TODAY()-$I105&gt;=IMPOSTAZIONI!$C$9),"RICHIAMO MANTENIMENTO",""),IF($E105="In ciclo",IF(N($D105)&gt;=IMPOSTAZIONI!$C$5,"ULTIMA SEDUTA",IF(AND($I105&lt;&gt;"",TODAY()-$I105&gt;IMPOSTAZIONI!$C$7),"FUORI FINESTRA","PRENDI APPUNTAMENTO")),IF($E105="Da contattare","PRENDI APPUNTAMENTO","")))))))))))</f>
        <v/>
      </c>
      <c r="T105" s="17">
        <f>IF($S105="","",IFERROR(MATCH($S105,IMPOSTAZIONI!$F$5:$F$12,0),9)*100000000+(9999-MIN(9999,ROUND(N($O105)/100,0)))*10000+ROW())</f>
        <v/>
      </c>
    </row>
    <row r="106">
      <c r="A106" s="11" t="n"/>
      <c r="B106" s="12">
        <f>IF($S106="","",IFERROR(MATCH($S106,IMPOSTAZIONI!$F$5:$F$12,0),9)&amp;" · "&amp;$S106)</f>
        <v/>
      </c>
      <c r="C106" s="13" t="n"/>
      <c r="D106" s="14" t="n"/>
      <c r="E106" s="11" t="n"/>
      <c r="F106" s="15">
        <f>IF($A106="","",IF(LEN(IF(AND($C106&lt;&gt;"",$C106=TODAY())," · oggi in centro","")&amp;IF(AND($C106&lt;&gt;"",$C106&gt;=TODAY(),N($D106)+1&gt;=IMPOSTAZIONI!$C$5)," · ultima del ciclo, proponi il mantenimento","")&amp;IF(AND($C106&lt;&gt;"",$C106&gt;=TODAY(),$I106&lt;&gt;"",$C106-$I106&lt;IMPOSTAZIONI!$C$6)," · rientro anticipato, meno di "&amp;IMPOSTAZIONI!$C$6&amp;" giorni","")&amp;IF(AND($C106&lt;&gt;"",$C106&gt;=TODAY(),$I106&lt;&gt;"",$C106-$I106&gt;IMPOSTAZIONI!$C$7)," · rientro oltre "&amp;IMPOSTAZIONI!$C$7&amp;" giorni",""))=0,"",MID(IF(AND($C106&lt;&gt;"",$C106=TODAY())," · oggi in centro","")&amp;IF(AND($C106&lt;&gt;"",$C106&gt;=TODAY(),N($D106)+1&gt;=IMPOSTAZIONI!$C$5)," · ultima del ciclo, proponi il mantenimento","")&amp;IF(AND($C106&lt;&gt;"",$C106&gt;=TODAY(),$I106&lt;&gt;"",$C106-$I106&lt;IMPOSTAZIONI!$C$6)," · rientro anticipato, meno di "&amp;IMPOSTAZIONI!$C$6&amp;" giorni","")&amp;IF(AND($C106&lt;&gt;"",$C106&gt;=TODAY(),$I106&lt;&gt;"",$C106-$I106&gt;IMPOSTAZIONI!$C$7)," · rientro oltre "&amp;IMPOSTAZIONI!$C$7&amp;" giorni",""),4,300)))</f>
        <v/>
      </c>
      <c r="G106" s="16" t="n"/>
      <c r="H106" s="11" t="n"/>
      <c r="I106" s="13" t="n"/>
      <c r="J106" s="17">
        <f>IF($I106="","",TODAY()-$I106)</f>
        <v/>
      </c>
      <c r="K106" s="17">
        <f>IF($C106="","",$C106-TODAY())</f>
        <v/>
      </c>
      <c r="L106" s="15">
        <f>IF($A106="","",N($D106)&amp;"/"&amp;IMPOSTAZIONI!$C$5)</f>
        <v/>
      </c>
      <c r="M106" s="15">
        <f>IF($S106="","",IF($S106="RECUPERA CON INCENTIVO",INCENTIVI!$C$7,IF($S106="RICHIAMO MANTENIMENTO",INCENTIVI!$C$6,IF(OR($S106="FUORI FINESTRA",$S106="ULTIMA SEDUTA"),INCENTIVI!$C$5,""))))</f>
        <v/>
      </c>
      <c r="N106" s="18" t="n"/>
      <c r="O106" s="19">
        <f>IF($A106="","",N($D106)*N($N106))</f>
        <v/>
      </c>
      <c r="P106" s="19">
        <f>IF($A106="","",MAX(0,(IMPOSTAZIONI!$C$5-N($D106))*N($N106)))</f>
        <v/>
      </c>
      <c r="Q106" s="13" t="n"/>
      <c r="R106" s="11" t="n"/>
      <c r="S106" s="15">
        <f>IF($A106="","",IF(AND($C106&lt;&gt;"",$C106&lt;TODAY(),OR($I106="",$I106&lt;$C106)),"APPUNTAMENTO SALTATO",IF(AND($C106&lt;&gt;"",$C106-TODAY()=1),"CONFERMA DOMANI",IF(AND($C106&lt;&gt;"",$C106-TODAY()=IMPOSTAZIONI!$C$8),"CHIAMA PER CONFERMA",IF(AND($C106&lt;&gt;"",$C106&gt;=TODAY()),"",IF($E106="Sospesa","",IF($E106="Persa","RECUPERA CON INCENTIVO",IF(AND($I106&lt;&gt;"",TODAY()&gt;=EDATE($I106,IMPOSTAZIONI!$C$10)),"RECUPERA CON INCENTIVO",IF($E106="Mantenimento",IF(AND($I106&lt;&gt;"",TODAY()-$I106&gt;=IMPOSTAZIONI!$C$9),"RICHIAMO MANTENIMENTO",""),IF($E106="In ciclo",IF(N($D106)&gt;=IMPOSTAZIONI!$C$5,"ULTIMA SEDUTA",IF(AND($I106&lt;&gt;"",TODAY()-$I106&gt;IMPOSTAZIONI!$C$7),"FUORI FINESTRA","PRENDI APPUNTAMENTO")),IF($E106="Da contattare","PRENDI APPUNTAMENTO","")))))))))))</f>
        <v/>
      </c>
      <c r="T106" s="17">
        <f>IF($S106="","",IFERROR(MATCH($S106,IMPOSTAZIONI!$F$5:$F$12,0),9)*100000000+(9999-MIN(9999,ROUND(N($O106)/100,0)))*10000+ROW())</f>
        <v/>
      </c>
    </row>
    <row r="107">
      <c r="A107" s="11" t="n"/>
      <c r="B107" s="12">
        <f>IF($S107="","",IFERROR(MATCH($S107,IMPOSTAZIONI!$F$5:$F$12,0),9)&amp;" · "&amp;$S107)</f>
        <v/>
      </c>
      <c r="C107" s="13" t="n"/>
      <c r="D107" s="14" t="n"/>
      <c r="E107" s="11" t="n"/>
      <c r="F107" s="15">
        <f>IF($A107="","",IF(LEN(IF(AND($C107&lt;&gt;"",$C107=TODAY())," · oggi in centro","")&amp;IF(AND($C107&lt;&gt;"",$C107&gt;=TODAY(),N($D107)+1&gt;=IMPOSTAZIONI!$C$5)," · ultima del ciclo, proponi il mantenimento","")&amp;IF(AND($C107&lt;&gt;"",$C107&gt;=TODAY(),$I107&lt;&gt;"",$C107-$I107&lt;IMPOSTAZIONI!$C$6)," · rientro anticipato, meno di "&amp;IMPOSTAZIONI!$C$6&amp;" giorni","")&amp;IF(AND($C107&lt;&gt;"",$C107&gt;=TODAY(),$I107&lt;&gt;"",$C107-$I107&gt;IMPOSTAZIONI!$C$7)," · rientro oltre "&amp;IMPOSTAZIONI!$C$7&amp;" giorni",""))=0,"",MID(IF(AND($C107&lt;&gt;"",$C107=TODAY())," · oggi in centro","")&amp;IF(AND($C107&lt;&gt;"",$C107&gt;=TODAY(),N($D107)+1&gt;=IMPOSTAZIONI!$C$5)," · ultima del ciclo, proponi il mantenimento","")&amp;IF(AND($C107&lt;&gt;"",$C107&gt;=TODAY(),$I107&lt;&gt;"",$C107-$I107&lt;IMPOSTAZIONI!$C$6)," · rientro anticipato, meno di "&amp;IMPOSTAZIONI!$C$6&amp;" giorni","")&amp;IF(AND($C107&lt;&gt;"",$C107&gt;=TODAY(),$I107&lt;&gt;"",$C107-$I107&gt;IMPOSTAZIONI!$C$7)," · rientro oltre "&amp;IMPOSTAZIONI!$C$7&amp;" giorni",""),4,300)))</f>
        <v/>
      </c>
      <c r="G107" s="16" t="n"/>
      <c r="H107" s="11" t="n"/>
      <c r="I107" s="13" t="n"/>
      <c r="J107" s="17">
        <f>IF($I107="","",TODAY()-$I107)</f>
        <v/>
      </c>
      <c r="K107" s="17">
        <f>IF($C107="","",$C107-TODAY())</f>
        <v/>
      </c>
      <c r="L107" s="15">
        <f>IF($A107="","",N($D107)&amp;"/"&amp;IMPOSTAZIONI!$C$5)</f>
        <v/>
      </c>
      <c r="M107" s="15">
        <f>IF($S107="","",IF($S107="RECUPERA CON INCENTIVO",INCENTIVI!$C$7,IF($S107="RICHIAMO MANTENIMENTO",INCENTIVI!$C$6,IF(OR($S107="FUORI FINESTRA",$S107="ULTIMA SEDUTA"),INCENTIVI!$C$5,""))))</f>
        <v/>
      </c>
      <c r="N107" s="18" t="n"/>
      <c r="O107" s="19">
        <f>IF($A107="","",N($D107)*N($N107))</f>
        <v/>
      </c>
      <c r="P107" s="19">
        <f>IF($A107="","",MAX(0,(IMPOSTAZIONI!$C$5-N($D107))*N($N107)))</f>
        <v/>
      </c>
      <c r="Q107" s="13" t="n"/>
      <c r="R107" s="11" t="n"/>
      <c r="S107" s="15">
        <f>IF($A107="","",IF(AND($C107&lt;&gt;"",$C107&lt;TODAY(),OR($I107="",$I107&lt;$C107)),"APPUNTAMENTO SALTATO",IF(AND($C107&lt;&gt;"",$C107-TODAY()=1),"CONFERMA DOMANI",IF(AND($C107&lt;&gt;"",$C107-TODAY()=IMPOSTAZIONI!$C$8),"CHIAMA PER CONFERMA",IF(AND($C107&lt;&gt;"",$C107&gt;=TODAY()),"",IF($E107="Sospesa","",IF($E107="Persa","RECUPERA CON INCENTIVO",IF(AND($I107&lt;&gt;"",TODAY()&gt;=EDATE($I107,IMPOSTAZIONI!$C$10)),"RECUPERA CON INCENTIVO",IF($E107="Mantenimento",IF(AND($I107&lt;&gt;"",TODAY()-$I107&gt;=IMPOSTAZIONI!$C$9),"RICHIAMO MANTENIMENTO",""),IF($E107="In ciclo",IF(N($D107)&gt;=IMPOSTAZIONI!$C$5,"ULTIMA SEDUTA",IF(AND($I107&lt;&gt;"",TODAY()-$I107&gt;IMPOSTAZIONI!$C$7),"FUORI FINESTRA","PRENDI APPUNTAMENTO")),IF($E107="Da contattare","PRENDI APPUNTAMENTO","")))))))))))</f>
        <v/>
      </c>
      <c r="T107" s="17">
        <f>IF($S107="","",IFERROR(MATCH($S107,IMPOSTAZIONI!$F$5:$F$12,0),9)*100000000+(9999-MIN(9999,ROUND(N($O107)/100,0)))*10000+ROW())</f>
        <v/>
      </c>
    </row>
    <row r="108">
      <c r="A108" s="11" t="n"/>
      <c r="B108" s="12">
        <f>IF($S108="","",IFERROR(MATCH($S108,IMPOSTAZIONI!$F$5:$F$12,0),9)&amp;" · "&amp;$S108)</f>
        <v/>
      </c>
      <c r="C108" s="13" t="n"/>
      <c r="D108" s="14" t="n"/>
      <c r="E108" s="11" t="n"/>
      <c r="F108" s="15">
        <f>IF($A108="","",IF(LEN(IF(AND($C108&lt;&gt;"",$C108=TODAY())," · oggi in centro","")&amp;IF(AND($C108&lt;&gt;"",$C108&gt;=TODAY(),N($D108)+1&gt;=IMPOSTAZIONI!$C$5)," · ultima del ciclo, proponi il mantenimento","")&amp;IF(AND($C108&lt;&gt;"",$C108&gt;=TODAY(),$I108&lt;&gt;"",$C108-$I108&lt;IMPOSTAZIONI!$C$6)," · rientro anticipato, meno di "&amp;IMPOSTAZIONI!$C$6&amp;" giorni","")&amp;IF(AND($C108&lt;&gt;"",$C108&gt;=TODAY(),$I108&lt;&gt;"",$C108-$I108&gt;IMPOSTAZIONI!$C$7)," · rientro oltre "&amp;IMPOSTAZIONI!$C$7&amp;" giorni",""))=0,"",MID(IF(AND($C108&lt;&gt;"",$C108=TODAY())," · oggi in centro","")&amp;IF(AND($C108&lt;&gt;"",$C108&gt;=TODAY(),N($D108)+1&gt;=IMPOSTAZIONI!$C$5)," · ultima del ciclo, proponi il mantenimento","")&amp;IF(AND($C108&lt;&gt;"",$C108&gt;=TODAY(),$I108&lt;&gt;"",$C108-$I108&lt;IMPOSTAZIONI!$C$6)," · rientro anticipato, meno di "&amp;IMPOSTAZIONI!$C$6&amp;" giorni","")&amp;IF(AND($C108&lt;&gt;"",$C108&gt;=TODAY(),$I108&lt;&gt;"",$C108-$I108&gt;IMPOSTAZIONI!$C$7)," · rientro oltre "&amp;IMPOSTAZIONI!$C$7&amp;" giorni",""),4,300)))</f>
        <v/>
      </c>
      <c r="G108" s="16" t="n"/>
      <c r="H108" s="11" t="n"/>
      <c r="I108" s="13" t="n"/>
      <c r="J108" s="17">
        <f>IF($I108="","",TODAY()-$I108)</f>
        <v/>
      </c>
      <c r="K108" s="17">
        <f>IF($C108="","",$C108-TODAY())</f>
        <v/>
      </c>
      <c r="L108" s="15">
        <f>IF($A108="","",N($D108)&amp;"/"&amp;IMPOSTAZIONI!$C$5)</f>
        <v/>
      </c>
      <c r="M108" s="15">
        <f>IF($S108="","",IF($S108="RECUPERA CON INCENTIVO",INCENTIVI!$C$7,IF($S108="RICHIAMO MANTENIMENTO",INCENTIVI!$C$6,IF(OR($S108="FUORI FINESTRA",$S108="ULTIMA SEDUTA"),INCENTIVI!$C$5,""))))</f>
        <v/>
      </c>
      <c r="N108" s="18" t="n"/>
      <c r="O108" s="19">
        <f>IF($A108="","",N($D108)*N($N108))</f>
        <v/>
      </c>
      <c r="P108" s="19">
        <f>IF($A108="","",MAX(0,(IMPOSTAZIONI!$C$5-N($D108))*N($N108)))</f>
        <v/>
      </c>
      <c r="Q108" s="13" t="n"/>
      <c r="R108" s="11" t="n"/>
      <c r="S108" s="15">
        <f>IF($A108="","",IF(AND($C108&lt;&gt;"",$C108&lt;TODAY(),OR($I108="",$I108&lt;$C108)),"APPUNTAMENTO SALTATO",IF(AND($C108&lt;&gt;"",$C108-TODAY()=1),"CONFERMA DOMANI",IF(AND($C108&lt;&gt;"",$C108-TODAY()=IMPOSTAZIONI!$C$8),"CHIAMA PER CONFERMA",IF(AND($C108&lt;&gt;"",$C108&gt;=TODAY()),"",IF($E108="Sospesa","",IF($E108="Persa","RECUPERA CON INCENTIVO",IF(AND($I108&lt;&gt;"",TODAY()&gt;=EDATE($I108,IMPOSTAZIONI!$C$10)),"RECUPERA CON INCENTIVO",IF($E108="Mantenimento",IF(AND($I108&lt;&gt;"",TODAY()-$I108&gt;=IMPOSTAZIONI!$C$9),"RICHIAMO MANTENIMENTO",""),IF($E108="In ciclo",IF(N($D108)&gt;=IMPOSTAZIONI!$C$5,"ULTIMA SEDUTA",IF(AND($I108&lt;&gt;"",TODAY()-$I108&gt;IMPOSTAZIONI!$C$7),"FUORI FINESTRA","PRENDI APPUNTAMENTO")),IF($E108="Da contattare","PRENDI APPUNTAMENTO","")))))))))))</f>
        <v/>
      </c>
      <c r="T108" s="17">
        <f>IF($S108="","",IFERROR(MATCH($S108,IMPOSTAZIONI!$F$5:$F$12,0),9)*100000000+(9999-MIN(9999,ROUND(N($O108)/100,0)))*10000+ROW())</f>
        <v/>
      </c>
    </row>
    <row r="109">
      <c r="A109" s="11" t="n"/>
      <c r="B109" s="12">
        <f>IF($S109="","",IFERROR(MATCH($S109,IMPOSTAZIONI!$F$5:$F$12,0),9)&amp;" · "&amp;$S109)</f>
        <v/>
      </c>
      <c r="C109" s="13" t="n"/>
      <c r="D109" s="14" t="n"/>
      <c r="E109" s="11" t="n"/>
      <c r="F109" s="15">
        <f>IF($A109="","",IF(LEN(IF(AND($C109&lt;&gt;"",$C109=TODAY())," · oggi in centro","")&amp;IF(AND($C109&lt;&gt;"",$C109&gt;=TODAY(),N($D109)+1&gt;=IMPOSTAZIONI!$C$5)," · ultima del ciclo, proponi il mantenimento","")&amp;IF(AND($C109&lt;&gt;"",$C109&gt;=TODAY(),$I109&lt;&gt;"",$C109-$I109&lt;IMPOSTAZIONI!$C$6)," · rientro anticipato, meno di "&amp;IMPOSTAZIONI!$C$6&amp;" giorni","")&amp;IF(AND($C109&lt;&gt;"",$C109&gt;=TODAY(),$I109&lt;&gt;"",$C109-$I109&gt;IMPOSTAZIONI!$C$7)," · rientro oltre "&amp;IMPOSTAZIONI!$C$7&amp;" giorni",""))=0,"",MID(IF(AND($C109&lt;&gt;"",$C109=TODAY())," · oggi in centro","")&amp;IF(AND($C109&lt;&gt;"",$C109&gt;=TODAY(),N($D109)+1&gt;=IMPOSTAZIONI!$C$5)," · ultima del ciclo, proponi il mantenimento","")&amp;IF(AND($C109&lt;&gt;"",$C109&gt;=TODAY(),$I109&lt;&gt;"",$C109-$I109&lt;IMPOSTAZIONI!$C$6)," · rientro anticipato, meno di "&amp;IMPOSTAZIONI!$C$6&amp;" giorni","")&amp;IF(AND($C109&lt;&gt;"",$C109&gt;=TODAY(),$I109&lt;&gt;"",$C109-$I109&gt;IMPOSTAZIONI!$C$7)," · rientro oltre "&amp;IMPOSTAZIONI!$C$7&amp;" giorni",""),4,300)))</f>
        <v/>
      </c>
      <c r="G109" s="16" t="n"/>
      <c r="H109" s="11" t="n"/>
      <c r="I109" s="13" t="n"/>
      <c r="J109" s="17">
        <f>IF($I109="","",TODAY()-$I109)</f>
        <v/>
      </c>
      <c r="K109" s="17">
        <f>IF($C109="","",$C109-TODAY())</f>
        <v/>
      </c>
      <c r="L109" s="15">
        <f>IF($A109="","",N($D109)&amp;"/"&amp;IMPOSTAZIONI!$C$5)</f>
        <v/>
      </c>
      <c r="M109" s="15">
        <f>IF($S109="","",IF($S109="RECUPERA CON INCENTIVO",INCENTIVI!$C$7,IF($S109="RICHIAMO MANTENIMENTO",INCENTIVI!$C$6,IF(OR($S109="FUORI FINESTRA",$S109="ULTIMA SEDUTA"),INCENTIVI!$C$5,""))))</f>
        <v/>
      </c>
      <c r="N109" s="18" t="n"/>
      <c r="O109" s="19">
        <f>IF($A109="","",N($D109)*N($N109))</f>
        <v/>
      </c>
      <c r="P109" s="19">
        <f>IF($A109="","",MAX(0,(IMPOSTAZIONI!$C$5-N($D109))*N($N109)))</f>
        <v/>
      </c>
      <c r="Q109" s="13" t="n"/>
      <c r="R109" s="11" t="n"/>
      <c r="S109" s="15">
        <f>IF($A109="","",IF(AND($C109&lt;&gt;"",$C109&lt;TODAY(),OR($I109="",$I109&lt;$C109)),"APPUNTAMENTO SALTATO",IF(AND($C109&lt;&gt;"",$C109-TODAY()=1),"CONFERMA DOMANI",IF(AND($C109&lt;&gt;"",$C109-TODAY()=IMPOSTAZIONI!$C$8),"CHIAMA PER CONFERMA",IF(AND($C109&lt;&gt;"",$C109&gt;=TODAY()),"",IF($E109="Sospesa","",IF($E109="Persa","RECUPERA CON INCENTIVO",IF(AND($I109&lt;&gt;"",TODAY()&gt;=EDATE($I109,IMPOSTAZIONI!$C$10)),"RECUPERA CON INCENTIVO",IF($E109="Mantenimento",IF(AND($I109&lt;&gt;"",TODAY()-$I109&gt;=IMPOSTAZIONI!$C$9),"RICHIAMO MANTENIMENTO",""),IF($E109="In ciclo",IF(N($D109)&gt;=IMPOSTAZIONI!$C$5,"ULTIMA SEDUTA",IF(AND($I109&lt;&gt;"",TODAY()-$I109&gt;IMPOSTAZIONI!$C$7),"FUORI FINESTRA","PRENDI APPUNTAMENTO")),IF($E109="Da contattare","PRENDI APPUNTAMENTO","")))))))))))</f>
        <v/>
      </c>
      <c r="T109" s="17">
        <f>IF($S109="","",IFERROR(MATCH($S109,IMPOSTAZIONI!$F$5:$F$12,0),9)*100000000+(9999-MIN(9999,ROUND(N($O109)/100,0)))*10000+ROW())</f>
        <v/>
      </c>
    </row>
    <row r="110">
      <c r="A110" s="11" t="n"/>
      <c r="B110" s="12">
        <f>IF($S110="","",IFERROR(MATCH($S110,IMPOSTAZIONI!$F$5:$F$12,0),9)&amp;" · "&amp;$S110)</f>
        <v/>
      </c>
      <c r="C110" s="13" t="n"/>
      <c r="D110" s="14" t="n"/>
      <c r="E110" s="11" t="n"/>
      <c r="F110" s="15">
        <f>IF($A110="","",IF(LEN(IF(AND($C110&lt;&gt;"",$C110=TODAY())," · oggi in centro","")&amp;IF(AND($C110&lt;&gt;"",$C110&gt;=TODAY(),N($D110)+1&gt;=IMPOSTAZIONI!$C$5)," · ultima del ciclo, proponi il mantenimento","")&amp;IF(AND($C110&lt;&gt;"",$C110&gt;=TODAY(),$I110&lt;&gt;"",$C110-$I110&lt;IMPOSTAZIONI!$C$6)," · rientro anticipato, meno di "&amp;IMPOSTAZIONI!$C$6&amp;" giorni","")&amp;IF(AND($C110&lt;&gt;"",$C110&gt;=TODAY(),$I110&lt;&gt;"",$C110-$I110&gt;IMPOSTAZIONI!$C$7)," · rientro oltre "&amp;IMPOSTAZIONI!$C$7&amp;" giorni",""))=0,"",MID(IF(AND($C110&lt;&gt;"",$C110=TODAY())," · oggi in centro","")&amp;IF(AND($C110&lt;&gt;"",$C110&gt;=TODAY(),N($D110)+1&gt;=IMPOSTAZIONI!$C$5)," · ultima del ciclo, proponi il mantenimento","")&amp;IF(AND($C110&lt;&gt;"",$C110&gt;=TODAY(),$I110&lt;&gt;"",$C110-$I110&lt;IMPOSTAZIONI!$C$6)," · rientro anticipato, meno di "&amp;IMPOSTAZIONI!$C$6&amp;" giorni","")&amp;IF(AND($C110&lt;&gt;"",$C110&gt;=TODAY(),$I110&lt;&gt;"",$C110-$I110&gt;IMPOSTAZIONI!$C$7)," · rientro oltre "&amp;IMPOSTAZIONI!$C$7&amp;" giorni",""),4,300)))</f>
        <v/>
      </c>
      <c r="G110" s="16" t="n"/>
      <c r="H110" s="11" t="n"/>
      <c r="I110" s="13" t="n"/>
      <c r="J110" s="17">
        <f>IF($I110="","",TODAY()-$I110)</f>
        <v/>
      </c>
      <c r="K110" s="17">
        <f>IF($C110="","",$C110-TODAY())</f>
        <v/>
      </c>
      <c r="L110" s="15">
        <f>IF($A110="","",N($D110)&amp;"/"&amp;IMPOSTAZIONI!$C$5)</f>
        <v/>
      </c>
      <c r="M110" s="15">
        <f>IF($S110="","",IF($S110="RECUPERA CON INCENTIVO",INCENTIVI!$C$7,IF($S110="RICHIAMO MANTENIMENTO",INCENTIVI!$C$6,IF(OR($S110="FUORI FINESTRA",$S110="ULTIMA SEDUTA"),INCENTIVI!$C$5,""))))</f>
        <v/>
      </c>
      <c r="N110" s="18" t="n"/>
      <c r="O110" s="19">
        <f>IF($A110="","",N($D110)*N($N110))</f>
        <v/>
      </c>
      <c r="P110" s="19">
        <f>IF($A110="","",MAX(0,(IMPOSTAZIONI!$C$5-N($D110))*N($N110)))</f>
        <v/>
      </c>
      <c r="Q110" s="13" t="n"/>
      <c r="R110" s="11" t="n"/>
      <c r="S110" s="15">
        <f>IF($A110="","",IF(AND($C110&lt;&gt;"",$C110&lt;TODAY(),OR($I110="",$I110&lt;$C110)),"APPUNTAMENTO SALTATO",IF(AND($C110&lt;&gt;"",$C110-TODAY()=1),"CONFERMA DOMANI",IF(AND($C110&lt;&gt;"",$C110-TODAY()=IMPOSTAZIONI!$C$8),"CHIAMA PER CONFERMA",IF(AND($C110&lt;&gt;"",$C110&gt;=TODAY()),"",IF($E110="Sospesa","",IF($E110="Persa","RECUPERA CON INCENTIVO",IF(AND($I110&lt;&gt;"",TODAY()&gt;=EDATE($I110,IMPOSTAZIONI!$C$10)),"RECUPERA CON INCENTIVO",IF($E110="Mantenimento",IF(AND($I110&lt;&gt;"",TODAY()-$I110&gt;=IMPOSTAZIONI!$C$9),"RICHIAMO MANTENIMENTO",""),IF($E110="In ciclo",IF(N($D110)&gt;=IMPOSTAZIONI!$C$5,"ULTIMA SEDUTA",IF(AND($I110&lt;&gt;"",TODAY()-$I110&gt;IMPOSTAZIONI!$C$7),"FUORI FINESTRA","PRENDI APPUNTAMENTO")),IF($E110="Da contattare","PRENDI APPUNTAMENTO","")))))))))))</f>
        <v/>
      </c>
      <c r="T110" s="17">
        <f>IF($S110="","",IFERROR(MATCH($S110,IMPOSTAZIONI!$F$5:$F$12,0),9)*100000000+(9999-MIN(9999,ROUND(N($O110)/100,0)))*10000+ROW())</f>
        <v/>
      </c>
    </row>
    <row r="111">
      <c r="A111" s="11" t="n"/>
      <c r="B111" s="12">
        <f>IF($S111="","",IFERROR(MATCH($S111,IMPOSTAZIONI!$F$5:$F$12,0),9)&amp;" · "&amp;$S111)</f>
        <v/>
      </c>
      <c r="C111" s="13" t="n"/>
      <c r="D111" s="14" t="n"/>
      <c r="E111" s="11" t="n"/>
      <c r="F111" s="15">
        <f>IF($A111="","",IF(LEN(IF(AND($C111&lt;&gt;"",$C111=TODAY())," · oggi in centro","")&amp;IF(AND($C111&lt;&gt;"",$C111&gt;=TODAY(),N($D111)+1&gt;=IMPOSTAZIONI!$C$5)," · ultima del ciclo, proponi il mantenimento","")&amp;IF(AND($C111&lt;&gt;"",$C111&gt;=TODAY(),$I111&lt;&gt;"",$C111-$I111&lt;IMPOSTAZIONI!$C$6)," · rientro anticipato, meno di "&amp;IMPOSTAZIONI!$C$6&amp;" giorni","")&amp;IF(AND($C111&lt;&gt;"",$C111&gt;=TODAY(),$I111&lt;&gt;"",$C111-$I111&gt;IMPOSTAZIONI!$C$7)," · rientro oltre "&amp;IMPOSTAZIONI!$C$7&amp;" giorni",""))=0,"",MID(IF(AND($C111&lt;&gt;"",$C111=TODAY())," · oggi in centro","")&amp;IF(AND($C111&lt;&gt;"",$C111&gt;=TODAY(),N($D111)+1&gt;=IMPOSTAZIONI!$C$5)," · ultima del ciclo, proponi il mantenimento","")&amp;IF(AND($C111&lt;&gt;"",$C111&gt;=TODAY(),$I111&lt;&gt;"",$C111-$I111&lt;IMPOSTAZIONI!$C$6)," · rientro anticipato, meno di "&amp;IMPOSTAZIONI!$C$6&amp;" giorni","")&amp;IF(AND($C111&lt;&gt;"",$C111&gt;=TODAY(),$I111&lt;&gt;"",$C111-$I111&gt;IMPOSTAZIONI!$C$7)," · rientro oltre "&amp;IMPOSTAZIONI!$C$7&amp;" giorni",""),4,300)))</f>
        <v/>
      </c>
      <c r="G111" s="16" t="n"/>
      <c r="H111" s="11" t="n"/>
      <c r="I111" s="13" t="n"/>
      <c r="J111" s="17">
        <f>IF($I111="","",TODAY()-$I111)</f>
        <v/>
      </c>
      <c r="K111" s="17">
        <f>IF($C111="","",$C111-TODAY())</f>
        <v/>
      </c>
      <c r="L111" s="15">
        <f>IF($A111="","",N($D111)&amp;"/"&amp;IMPOSTAZIONI!$C$5)</f>
        <v/>
      </c>
      <c r="M111" s="15">
        <f>IF($S111="","",IF($S111="RECUPERA CON INCENTIVO",INCENTIVI!$C$7,IF($S111="RICHIAMO MANTENIMENTO",INCENTIVI!$C$6,IF(OR($S111="FUORI FINESTRA",$S111="ULTIMA SEDUTA"),INCENTIVI!$C$5,""))))</f>
        <v/>
      </c>
      <c r="N111" s="18" t="n"/>
      <c r="O111" s="19">
        <f>IF($A111="","",N($D111)*N($N111))</f>
        <v/>
      </c>
      <c r="P111" s="19">
        <f>IF($A111="","",MAX(0,(IMPOSTAZIONI!$C$5-N($D111))*N($N111)))</f>
        <v/>
      </c>
      <c r="Q111" s="13" t="n"/>
      <c r="R111" s="11" t="n"/>
      <c r="S111" s="15">
        <f>IF($A111="","",IF(AND($C111&lt;&gt;"",$C111&lt;TODAY(),OR($I111="",$I111&lt;$C111)),"APPUNTAMENTO SALTATO",IF(AND($C111&lt;&gt;"",$C111-TODAY()=1),"CONFERMA DOMANI",IF(AND($C111&lt;&gt;"",$C111-TODAY()=IMPOSTAZIONI!$C$8),"CHIAMA PER CONFERMA",IF(AND($C111&lt;&gt;"",$C111&gt;=TODAY()),"",IF($E111="Sospesa","",IF($E111="Persa","RECUPERA CON INCENTIVO",IF(AND($I111&lt;&gt;"",TODAY()&gt;=EDATE($I111,IMPOSTAZIONI!$C$10)),"RECUPERA CON INCENTIVO",IF($E111="Mantenimento",IF(AND($I111&lt;&gt;"",TODAY()-$I111&gt;=IMPOSTAZIONI!$C$9),"RICHIAMO MANTENIMENTO",""),IF($E111="In ciclo",IF(N($D111)&gt;=IMPOSTAZIONI!$C$5,"ULTIMA SEDUTA",IF(AND($I111&lt;&gt;"",TODAY()-$I111&gt;IMPOSTAZIONI!$C$7),"FUORI FINESTRA","PRENDI APPUNTAMENTO")),IF($E111="Da contattare","PRENDI APPUNTAMENTO","")))))))))))</f>
        <v/>
      </c>
      <c r="T111" s="17">
        <f>IF($S111="","",IFERROR(MATCH($S111,IMPOSTAZIONI!$F$5:$F$12,0),9)*100000000+(9999-MIN(9999,ROUND(N($O111)/100,0)))*10000+ROW())</f>
        <v/>
      </c>
    </row>
    <row r="112">
      <c r="A112" s="11" t="n"/>
      <c r="B112" s="12">
        <f>IF($S112="","",IFERROR(MATCH($S112,IMPOSTAZIONI!$F$5:$F$12,0),9)&amp;" · "&amp;$S112)</f>
        <v/>
      </c>
      <c r="C112" s="13" t="n"/>
      <c r="D112" s="14" t="n"/>
      <c r="E112" s="11" t="n"/>
      <c r="F112" s="15">
        <f>IF($A112="","",IF(LEN(IF(AND($C112&lt;&gt;"",$C112=TODAY())," · oggi in centro","")&amp;IF(AND($C112&lt;&gt;"",$C112&gt;=TODAY(),N($D112)+1&gt;=IMPOSTAZIONI!$C$5)," · ultima del ciclo, proponi il mantenimento","")&amp;IF(AND($C112&lt;&gt;"",$C112&gt;=TODAY(),$I112&lt;&gt;"",$C112-$I112&lt;IMPOSTAZIONI!$C$6)," · rientro anticipato, meno di "&amp;IMPOSTAZIONI!$C$6&amp;" giorni","")&amp;IF(AND($C112&lt;&gt;"",$C112&gt;=TODAY(),$I112&lt;&gt;"",$C112-$I112&gt;IMPOSTAZIONI!$C$7)," · rientro oltre "&amp;IMPOSTAZIONI!$C$7&amp;" giorni",""))=0,"",MID(IF(AND($C112&lt;&gt;"",$C112=TODAY())," · oggi in centro","")&amp;IF(AND($C112&lt;&gt;"",$C112&gt;=TODAY(),N($D112)+1&gt;=IMPOSTAZIONI!$C$5)," · ultima del ciclo, proponi il mantenimento","")&amp;IF(AND($C112&lt;&gt;"",$C112&gt;=TODAY(),$I112&lt;&gt;"",$C112-$I112&lt;IMPOSTAZIONI!$C$6)," · rientro anticipato, meno di "&amp;IMPOSTAZIONI!$C$6&amp;" giorni","")&amp;IF(AND($C112&lt;&gt;"",$C112&gt;=TODAY(),$I112&lt;&gt;"",$C112-$I112&gt;IMPOSTAZIONI!$C$7)," · rientro oltre "&amp;IMPOSTAZIONI!$C$7&amp;" giorni",""),4,300)))</f>
        <v/>
      </c>
      <c r="G112" s="16" t="n"/>
      <c r="H112" s="11" t="n"/>
      <c r="I112" s="13" t="n"/>
      <c r="J112" s="17">
        <f>IF($I112="","",TODAY()-$I112)</f>
        <v/>
      </c>
      <c r="K112" s="17">
        <f>IF($C112="","",$C112-TODAY())</f>
        <v/>
      </c>
      <c r="L112" s="15">
        <f>IF($A112="","",N($D112)&amp;"/"&amp;IMPOSTAZIONI!$C$5)</f>
        <v/>
      </c>
      <c r="M112" s="15">
        <f>IF($S112="","",IF($S112="RECUPERA CON INCENTIVO",INCENTIVI!$C$7,IF($S112="RICHIAMO MANTENIMENTO",INCENTIVI!$C$6,IF(OR($S112="FUORI FINESTRA",$S112="ULTIMA SEDUTA"),INCENTIVI!$C$5,""))))</f>
        <v/>
      </c>
      <c r="N112" s="18" t="n"/>
      <c r="O112" s="19">
        <f>IF($A112="","",N($D112)*N($N112))</f>
        <v/>
      </c>
      <c r="P112" s="19">
        <f>IF($A112="","",MAX(0,(IMPOSTAZIONI!$C$5-N($D112))*N($N112)))</f>
        <v/>
      </c>
      <c r="Q112" s="13" t="n"/>
      <c r="R112" s="11" t="n"/>
      <c r="S112" s="15">
        <f>IF($A112="","",IF(AND($C112&lt;&gt;"",$C112&lt;TODAY(),OR($I112="",$I112&lt;$C112)),"APPUNTAMENTO SALTATO",IF(AND($C112&lt;&gt;"",$C112-TODAY()=1),"CONFERMA DOMANI",IF(AND($C112&lt;&gt;"",$C112-TODAY()=IMPOSTAZIONI!$C$8),"CHIAMA PER CONFERMA",IF(AND($C112&lt;&gt;"",$C112&gt;=TODAY()),"",IF($E112="Sospesa","",IF($E112="Persa","RECUPERA CON INCENTIVO",IF(AND($I112&lt;&gt;"",TODAY()&gt;=EDATE($I112,IMPOSTAZIONI!$C$10)),"RECUPERA CON INCENTIVO",IF($E112="Mantenimento",IF(AND($I112&lt;&gt;"",TODAY()-$I112&gt;=IMPOSTAZIONI!$C$9),"RICHIAMO MANTENIMENTO",""),IF($E112="In ciclo",IF(N($D112)&gt;=IMPOSTAZIONI!$C$5,"ULTIMA SEDUTA",IF(AND($I112&lt;&gt;"",TODAY()-$I112&gt;IMPOSTAZIONI!$C$7),"FUORI FINESTRA","PRENDI APPUNTAMENTO")),IF($E112="Da contattare","PRENDI APPUNTAMENTO","")))))))))))</f>
        <v/>
      </c>
      <c r="T112" s="17">
        <f>IF($S112="","",IFERROR(MATCH($S112,IMPOSTAZIONI!$F$5:$F$12,0),9)*100000000+(9999-MIN(9999,ROUND(N($O112)/100,0)))*10000+ROW())</f>
        <v/>
      </c>
    </row>
    <row r="113">
      <c r="A113" s="11" t="n"/>
      <c r="B113" s="12">
        <f>IF($S113="","",IFERROR(MATCH($S113,IMPOSTAZIONI!$F$5:$F$12,0),9)&amp;" · "&amp;$S113)</f>
        <v/>
      </c>
      <c r="C113" s="13" t="n"/>
      <c r="D113" s="14" t="n"/>
      <c r="E113" s="11" t="n"/>
      <c r="F113" s="15">
        <f>IF($A113="","",IF(LEN(IF(AND($C113&lt;&gt;"",$C113=TODAY())," · oggi in centro","")&amp;IF(AND($C113&lt;&gt;"",$C113&gt;=TODAY(),N($D113)+1&gt;=IMPOSTAZIONI!$C$5)," · ultima del ciclo, proponi il mantenimento","")&amp;IF(AND($C113&lt;&gt;"",$C113&gt;=TODAY(),$I113&lt;&gt;"",$C113-$I113&lt;IMPOSTAZIONI!$C$6)," · rientro anticipato, meno di "&amp;IMPOSTAZIONI!$C$6&amp;" giorni","")&amp;IF(AND($C113&lt;&gt;"",$C113&gt;=TODAY(),$I113&lt;&gt;"",$C113-$I113&gt;IMPOSTAZIONI!$C$7)," · rientro oltre "&amp;IMPOSTAZIONI!$C$7&amp;" giorni",""))=0,"",MID(IF(AND($C113&lt;&gt;"",$C113=TODAY())," · oggi in centro","")&amp;IF(AND($C113&lt;&gt;"",$C113&gt;=TODAY(),N($D113)+1&gt;=IMPOSTAZIONI!$C$5)," · ultima del ciclo, proponi il mantenimento","")&amp;IF(AND($C113&lt;&gt;"",$C113&gt;=TODAY(),$I113&lt;&gt;"",$C113-$I113&lt;IMPOSTAZIONI!$C$6)," · rientro anticipato, meno di "&amp;IMPOSTAZIONI!$C$6&amp;" giorni","")&amp;IF(AND($C113&lt;&gt;"",$C113&gt;=TODAY(),$I113&lt;&gt;"",$C113-$I113&gt;IMPOSTAZIONI!$C$7)," · rientro oltre "&amp;IMPOSTAZIONI!$C$7&amp;" giorni",""),4,300)))</f>
        <v/>
      </c>
      <c r="G113" s="16" t="n"/>
      <c r="H113" s="11" t="n"/>
      <c r="I113" s="13" t="n"/>
      <c r="J113" s="17">
        <f>IF($I113="","",TODAY()-$I113)</f>
        <v/>
      </c>
      <c r="K113" s="17">
        <f>IF($C113="","",$C113-TODAY())</f>
        <v/>
      </c>
      <c r="L113" s="15">
        <f>IF($A113="","",N($D113)&amp;"/"&amp;IMPOSTAZIONI!$C$5)</f>
        <v/>
      </c>
      <c r="M113" s="15">
        <f>IF($S113="","",IF($S113="RECUPERA CON INCENTIVO",INCENTIVI!$C$7,IF($S113="RICHIAMO MANTENIMENTO",INCENTIVI!$C$6,IF(OR($S113="FUORI FINESTRA",$S113="ULTIMA SEDUTA"),INCENTIVI!$C$5,""))))</f>
        <v/>
      </c>
      <c r="N113" s="18" t="n"/>
      <c r="O113" s="19">
        <f>IF($A113="","",N($D113)*N($N113))</f>
        <v/>
      </c>
      <c r="P113" s="19">
        <f>IF($A113="","",MAX(0,(IMPOSTAZIONI!$C$5-N($D113))*N($N113)))</f>
        <v/>
      </c>
      <c r="Q113" s="13" t="n"/>
      <c r="R113" s="11" t="n"/>
      <c r="S113" s="15">
        <f>IF($A113="","",IF(AND($C113&lt;&gt;"",$C113&lt;TODAY(),OR($I113="",$I113&lt;$C113)),"APPUNTAMENTO SALTATO",IF(AND($C113&lt;&gt;"",$C113-TODAY()=1),"CONFERMA DOMANI",IF(AND($C113&lt;&gt;"",$C113-TODAY()=IMPOSTAZIONI!$C$8),"CHIAMA PER CONFERMA",IF(AND($C113&lt;&gt;"",$C113&gt;=TODAY()),"",IF($E113="Sospesa","",IF($E113="Persa","RECUPERA CON INCENTIVO",IF(AND($I113&lt;&gt;"",TODAY()&gt;=EDATE($I113,IMPOSTAZIONI!$C$10)),"RECUPERA CON INCENTIVO",IF($E113="Mantenimento",IF(AND($I113&lt;&gt;"",TODAY()-$I113&gt;=IMPOSTAZIONI!$C$9),"RICHIAMO MANTENIMENTO",""),IF($E113="In ciclo",IF(N($D113)&gt;=IMPOSTAZIONI!$C$5,"ULTIMA SEDUTA",IF(AND($I113&lt;&gt;"",TODAY()-$I113&gt;IMPOSTAZIONI!$C$7),"FUORI FINESTRA","PRENDI APPUNTAMENTO")),IF($E113="Da contattare","PRENDI APPUNTAMENTO","")))))))))))</f>
        <v/>
      </c>
      <c r="T113" s="17">
        <f>IF($S113="","",IFERROR(MATCH($S113,IMPOSTAZIONI!$F$5:$F$12,0),9)*100000000+(9999-MIN(9999,ROUND(N($O113)/100,0)))*10000+ROW())</f>
        <v/>
      </c>
    </row>
    <row r="114">
      <c r="A114" s="11" t="n"/>
      <c r="B114" s="12">
        <f>IF($S114="","",IFERROR(MATCH($S114,IMPOSTAZIONI!$F$5:$F$12,0),9)&amp;" · "&amp;$S114)</f>
        <v/>
      </c>
      <c r="C114" s="13" t="n"/>
      <c r="D114" s="14" t="n"/>
      <c r="E114" s="11" t="n"/>
      <c r="F114" s="15">
        <f>IF($A114="","",IF(LEN(IF(AND($C114&lt;&gt;"",$C114=TODAY())," · oggi in centro","")&amp;IF(AND($C114&lt;&gt;"",$C114&gt;=TODAY(),N($D114)+1&gt;=IMPOSTAZIONI!$C$5)," · ultima del ciclo, proponi il mantenimento","")&amp;IF(AND($C114&lt;&gt;"",$C114&gt;=TODAY(),$I114&lt;&gt;"",$C114-$I114&lt;IMPOSTAZIONI!$C$6)," · rientro anticipato, meno di "&amp;IMPOSTAZIONI!$C$6&amp;" giorni","")&amp;IF(AND($C114&lt;&gt;"",$C114&gt;=TODAY(),$I114&lt;&gt;"",$C114-$I114&gt;IMPOSTAZIONI!$C$7)," · rientro oltre "&amp;IMPOSTAZIONI!$C$7&amp;" giorni",""))=0,"",MID(IF(AND($C114&lt;&gt;"",$C114=TODAY())," · oggi in centro","")&amp;IF(AND($C114&lt;&gt;"",$C114&gt;=TODAY(),N($D114)+1&gt;=IMPOSTAZIONI!$C$5)," · ultima del ciclo, proponi il mantenimento","")&amp;IF(AND($C114&lt;&gt;"",$C114&gt;=TODAY(),$I114&lt;&gt;"",$C114-$I114&lt;IMPOSTAZIONI!$C$6)," · rientro anticipato, meno di "&amp;IMPOSTAZIONI!$C$6&amp;" giorni","")&amp;IF(AND($C114&lt;&gt;"",$C114&gt;=TODAY(),$I114&lt;&gt;"",$C114-$I114&gt;IMPOSTAZIONI!$C$7)," · rientro oltre "&amp;IMPOSTAZIONI!$C$7&amp;" giorni",""),4,300)))</f>
        <v/>
      </c>
      <c r="G114" s="16" t="n"/>
      <c r="H114" s="11" t="n"/>
      <c r="I114" s="13" t="n"/>
      <c r="J114" s="17">
        <f>IF($I114="","",TODAY()-$I114)</f>
        <v/>
      </c>
      <c r="K114" s="17">
        <f>IF($C114="","",$C114-TODAY())</f>
        <v/>
      </c>
      <c r="L114" s="15">
        <f>IF($A114="","",N($D114)&amp;"/"&amp;IMPOSTAZIONI!$C$5)</f>
        <v/>
      </c>
      <c r="M114" s="15">
        <f>IF($S114="","",IF($S114="RECUPERA CON INCENTIVO",INCENTIVI!$C$7,IF($S114="RICHIAMO MANTENIMENTO",INCENTIVI!$C$6,IF(OR($S114="FUORI FINESTRA",$S114="ULTIMA SEDUTA"),INCENTIVI!$C$5,""))))</f>
        <v/>
      </c>
      <c r="N114" s="18" t="n"/>
      <c r="O114" s="19">
        <f>IF($A114="","",N($D114)*N($N114))</f>
        <v/>
      </c>
      <c r="P114" s="19">
        <f>IF($A114="","",MAX(0,(IMPOSTAZIONI!$C$5-N($D114))*N($N114)))</f>
        <v/>
      </c>
      <c r="Q114" s="13" t="n"/>
      <c r="R114" s="11" t="n"/>
      <c r="S114" s="15">
        <f>IF($A114="","",IF(AND($C114&lt;&gt;"",$C114&lt;TODAY(),OR($I114="",$I114&lt;$C114)),"APPUNTAMENTO SALTATO",IF(AND($C114&lt;&gt;"",$C114-TODAY()=1),"CONFERMA DOMANI",IF(AND($C114&lt;&gt;"",$C114-TODAY()=IMPOSTAZIONI!$C$8),"CHIAMA PER CONFERMA",IF(AND($C114&lt;&gt;"",$C114&gt;=TODAY()),"",IF($E114="Sospesa","",IF($E114="Persa","RECUPERA CON INCENTIVO",IF(AND($I114&lt;&gt;"",TODAY()&gt;=EDATE($I114,IMPOSTAZIONI!$C$10)),"RECUPERA CON INCENTIVO",IF($E114="Mantenimento",IF(AND($I114&lt;&gt;"",TODAY()-$I114&gt;=IMPOSTAZIONI!$C$9),"RICHIAMO MANTENIMENTO",""),IF($E114="In ciclo",IF(N($D114)&gt;=IMPOSTAZIONI!$C$5,"ULTIMA SEDUTA",IF(AND($I114&lt;&gt;"",TODAY()-$I114&gt;IMPOSTAZIONI!$C$7),"FUORI FINESTRA","PRENDI APPUNTAMENTO")),IF($E114="Da contattare","PRENDI APPUNTAMENTO","")))))))))))</f>
        <v/>
      </c>
      <c r="T114" s="17">
        <f>IF($S114="","",IFERROR(MATCH($S114,IMPOSTAZIONI!$F$5:$F$12,0),9)*100000000+(9999-MIN(9999,ROUND(N($O114)/100,0)))*10000+ROW())</f>
        <v/>
      </c>
    </row>
    <row r="115">
      <c r="A115" s="11" t="n"/>
      <c r="B115" s="12">
        <f>IF($S115="","",IFERROR(MATCH($S115,IMPOSTAZIONI!$F$5:$F$12,0),9)&amp;" · "&amp;$S115)</f>
        <v/>
      </c>
      <c r="C115" s="13" t="n"/>
      <c r="D115" s="14" t="n"/>
      <c r="E115" s="11" t="n"/>
      <c r="F115" s="15">
        <f>IF($A115="","",IF(LEN(IF(AND($C115&lt;&gt;"",$C115=TODAY())," · oggi in centro","")&amp;IF(AND($C115&lt;&gt;"",$C115&gt;=TODAY(),N($D115)+1&gt;=IMPOSTAZIONI!$C$5)," · ultima del ciclo, proponi il mantenimento","")&amp;IF(AND($C115&lt;&gt;"",$C115&gt;=TODAY(),$I115&lt;&gt;"",$C115-$I115&lt;IMPOSTAZIONI!$C$6)," · rientro anticipato, meno di "&amp;IMPOSTAZIONI!$C$6&amp;" giorni","")&amp;IF(AND($C115&lt;&gt;"",$C115&gt;=TODAY(),$I115&lt;&gt;"",$C115-$I115&gt;IMPOSTAZIONI!$C$7)," · rientro oltre "&amp;IMPOSTAZIONI!$C$7&amp;" giorni",""))=0,"",MID(IF(AND($C115&lt;&gt;"",$C115=TODAY())," · oggi in centro","")&amp;IF(AND($C115&lt;&gt;"",$C115&gt;=TODAY(),N($D115)+1&gt;=IMPOSTAZIONI!$C$5)," · ultima del ciclo, proponi il mantenimento","")&amp;IF(AND($C115&lt;&gt;"",$C115&gt;=TODAY(),$I115&lt;&gt;"",$C115-$I115&lt;IMPOSTAZIONI!$C$6)," · rientro anticipato, meno di "&amp;IMPOSTAZIONI!$C$6&amp;" giorni","")&amp;IF(AND($C115&lt;&gt;"",$C115&gt;=TODAY(),$I115&lt;&gt;"",$C115-$I115&gt;IMPOSTAZIONI!$C$7)," · rientro oltre "&amp;IMPOSTAZIONI!$C$7&amp;" giorni",""),4,300)))</f>
        <v/>
      </c>
      <c r="G115" s="16" t="n"/>
      <c r="H115" s="11" t="n"/>
      <c r="I115" s="13" t="n"/>
      <c r="J115" s="17">
        <f>IF($I115="","",TODAY()-$I115)</f>
        <v/>
      </c>
      <c r="K115" s="17">
        <f>IF($C115="","",$C115-TODAY())</f>
        <v/>
      </c>
      <c r="L115" s="15">
        <f>IF($A115="","",N($D115)&amp;"/"&amp;IMPOSTAZIONI!$C$5)</f>
        <v/>
      </c>
      <c r="M115" s="15">
        <f>IF($S115="","",IF($S115="RECUPERA CON INCENTIVO",INCENTIVI!$C$7,IF($S115="RICHIAMO MANTENIMENTO",INCENTIVI!$C$6,IF(OR($S115="FUORI FINESTRA",$S115="ULTIMA SEDUTA"),INCENTIVI!$C$5,""))))</f>
        <v/>
      </c>
      <c r="N115" s="18" t="n"/>
      <c r="O115" s="19">
        <f>IF($A115="","",N($D115)*N($N115))</f>
        <v/>
      </c>
      <c r="P115" s="19">
        <f>IF($A115="","",MAX(0,(IMPOSTAZIONI!$C$5-N($D115))*N($N115)))</f>
        <v/>
      </c>
      <c r="Q115" s="13" t="n"/>
      <c r="R115" s="11" t="n"/>
      <c r="S115" s="15">
        <f>IF($A115="","",IF(AND($C115&lt;&gt;"",$C115&lt;TODAY(),OR($I115="",$I115&lt;$C115)),"APPUNTAMENTO SALTATO",IF(AND($C115&lt;&gt;"",$C115-TODAY()=1),"CONFERMA DOMANI",IF(AND($C115&lt;&gt;"",$C115-TODAY()=IMPOSTAZIONI!$C$8),"CHIAMA PER CONFERMA",IF(AND($C115&lt;&gt;"",$C115&gt;=TODAY()),"",IF($E115="Sospesa","",IF($E115="Persa","RECUPERA CON INCENTIVO",IF(AND($I115&lt;&gt;"",TODAY()&gt;=EDATE($I115,IMPOSTAZIONI!$C$10)),"RECUPERA CON INCENTIVO",IF($E115="Mantenimento",IF(AND($I115&lt;&gt;"",TODAY()-$I115&gt;=IMPOSTAZIONI!$C$9),"RICHIAMO MANTENIMENTO",""),IF($E115="In ciclo",IF(N($D115)&gt;=IMPOSTAZIONI!$C$5,"ULTIMA SEDUTA",IF(AND($I115&lt;&gt;"",TODAY()-$I115&gt;IMPOSTAZIONI!$C$7),"FUORI FINESTRA","PRENDI APPUNTAMENTO")),IF($E115="Da contattare","PRENDI APPUNTAMENTO","")))))))))))</f>
        <v/>
      </c>
      <c r="T115" s="17">
        <f>IF($S115="","",IFERROR(MATCH($S115,IMPOSTAZIONI!$F$5:$F$12,0),9)*100000000+(9999-MIN(9999,ROUND(N($O115)/100,0)))*10000+ROW())</f>
        <v/>
      </c>
    </row>
    <row r="116">
      <c r="A116" s="11" t="n"/>
      <c r="B116" s="12">
        <f>IF($S116="","",IFERROR(MATCH($S116,IMPOSTAZIONI!$F$5:$F$12,0),9)&amp;" · "&amp;$S116)</f>
        <v/>
      </c>
      <c r="C116" s="13" t="n"/>
      <c r="D116" s="14" t="n"/>
      <c r="E116" s="11" t="n"/>
      <c r="F116" s="15">
        <f>IF($A116="","",IF(LEN(IF(AND($C116&lt;&gt;"",$C116=TODAY())," · oggi in centro","")&amp;IF(AND($C116&lt;&gt;"",$C116&gt;=TODAY(),N($D116)+1&gt;=IMPOSTAZIONI!$C$5)," · ultima del ciclo, proponi il mantenimento","")&amp;IF(AND($C116&lt;&gt;"",$C116&gt;=TODAY(),$I116&lt;&gt;"",$C116-$I116&lt;IMPOSTAZIONI!$C$6)," · rientro anticipato, meno di "&amp;IMPOSTAZIONI!$C$6&amp;" giorni","")&amp;IF(AND($C116&lt;&gt;"",$C116&gt;=TODAY(),$I116&lt;&gt;"",$C116-$I116&gt;IMPOSTAZIONI!$C$7)," · rientro oltre "&amp;IMPOSTAZIONI!$C$7&amp;" giorni",""))=0,"",MID(IF(AND($C116&lt;&gt;"",$C116=TODAY())," · oggi in centro","")&amp;IF(AND($C116&lt;&gt;"",$C116&gt;=TODAY(),N($D116)+1&gt;=IMPOSTAZIONI!$C$5)," · ultima del ciclo, proponi il mantenimento","")&amp;IF(AND($C116&lt;&gt;"",$C116&gt;=TODAY(),$I116&lt;&gt;"",$C116-$I116&lt;IMPOSTAZIONI!$C$6)," · rientro anticipato, meno di "&amp;IMPOSTAZIONI!$C$6&amp;" giorni","")&amp;IF(AND($C116&lt;&gt;"",$C116&gt;=TODAY(),$I116&lt;&gt;"",$C116-$I116&gt;IMPOSTAZIONI!$C$7)," · rientro oltre "&amp;IMPOSTAZIONI!$C$7&amp;" giorni",""),4,300)))</f>
        <v/>
      </c>
      <c r="G116" s="16" t="n"/>
      <c r="H116" s="11" t="n"/>
      <c r="I116" s="13" t="n"/>
      <c r="J116" s="17">
        <f>IF($I116="","",TODAY()-$I116)</f>
        <v/>
      </c>
      <c r="K116" s="17">
        <f>IF($C116="","",$C116-TODAY())</f>
        <v/>
      </c>
      <c r="L116" s="15">
        <f>IF($A116="","",N($D116)&amp;"/"&amp;IMPOSTAZIONI!$C$5)</f>
        <v/>
      </c>
      <c r="M116" s="15">
        <f>IF($S116="","",IF($S116="RECUPERA CON INCENTIVO",INCENTIVI!$C$7,IF($S116="RICHIAMO MANTENIMENTO",INCENTIVI!$C$6,IF(OR($S116="FUORI FINESTRA",$S116="ULTIMA SEDUTA"),INCENTIVI!$C$5,""))))</f>
        <v/>
      </c>
      <c r="N116" s="18" t="n"/>
      <c r="O116" s="19">
        <f>IF($A116="","",N($D116)*N($N116))</f>
        <v/>
      </c>
      <c r="P116" s="19">
        <f>IF($A116="","",MAX(0,(IMPOSTAZIONI!$C$5-N($D116))*N($N116)))</f>
        <v/>
      </c>
      <c r="Q116" s="13" t="n"/>
      <c r="R116" s="11" t="n"/>
      <c r="S116" s="15">
        <f>IF($A116="","",IF(AND($C116&lt;&gt;"",$C116&lt;TODAY(),OR($I116="",$I116&lt;$C116)),"APPUNTAMENTO SALTATO",IF(AND($C116&lt;&gt;"",$C116-TODAY()=1),"CONFERMA DOMANI",IF(AND($C116&lt;&gt;"",$C116-TODAY()=IMPOSTAZIONI!$C$8),"CHIAMA PER CONFERMA",IF(AND($C116&lt;&gt;"",$C116&gt;=TODAY()),"",IF($E116="Sospesa","",IF($E116="Persa","RECUPERA CON INCENTIVO",IF(AND($I116&lt;&gt;"",TODAY()&gt;=EDATE($I116,IMPOSTAZIONI!$C$10)),"RECUPERA CON INCENTIVO",IF($E116="Mantenimento",IF(AND($I116&lt;&gt;"",TODAY()-$I116&gt;=IMPOSTAZIONI!$C$9),"RICHIAMO MANTENIMENTO",""),IF($E116="In ciclo",IF(N($D116)&gt;=IMPOSTAZIONI!$C$5,"ULTIMA SEDUTA",IF(AND($I116&lt;&gt;"",TODAY()-$I116&gt;IMPOSTAZIONI!$C$7),"FUORI FINESTRA","PRENDI APPUNTAMENTO")),IF($E116="Da contattare","PRENDI APPUNTAMENTO","")))))))))))</f>
        <v/>
      </c>
      <c r="T116" s="17">
        <f>IF($S116="","",IFERROR(MATCH($S116,IMPOSTAZIONI!$F$5:$F$12,0),9)*100000000+(9999-MIN(9999,ROUND(N($O116)/100,0)))*10000+ROW())</f>
        <v/>
      </c>
    </row>
    <row r="117">
      <c r="A117" s="11" t="n"/>
      <c r="B117" s="12">
        <f>IF($S117="","",IFERROR(MATCH($S117,IMPOSTAZIONI!$F$5:$F$12,0),9)&amp;" · "&amp;$S117)</f>
        <v/>
      </c>
      <c r="C117" s="13" t="n"/>
      <c r="D117" s="14" t="n"/>
      <c r="E117" s="11" t="n"/>
      <c r="F117" s="15">
        <f>IF($A117="","",IF(LEN(IF(AND($C117&lt;&gt;"",$C117=TODAY())," · oggi in centro","")&amp;IF(AND($C117&lt;&gt;"",$C117&gt;=TODAY(),N($D117)+1&gt;=IMPOSTAZIONI!$C$5)," · ultima del ciclo, proponi il mantenimento","")&amp;IF(AND($C117&lt;&gt;"",$C117&gt;=TODAY(),$I117&lt;&gt;"",$C117-$I117&lt;IMPOSTAZIONI!$C$6)," · rientro anticipato, meno di "&amp;IMPOSTAZIONI!$C$6&amp;" giorni","")&amp;IF(AND($C117&lt;&gt;"",$C117&gt;=TODAY(),$I117&lt;&gt;"",$C117-$I117&gt;IMPOSTAZIONI!$C$7)," · rientro oltre "&amp;IMPOSTAZIONI!$C$7&amp;" giorni",""))=0,"",MID(IF(AND($C117&lt;&gt;"",$C117=TODAY())," · oggi in centro","")&amp;IF(AND($C117&lt;&gt;"",$C117&gt;=TODAY(),N($D117)+1&gt;=IMPOSTAZIONI!$C$5)," · ultima del ciclo, proponi il mantenimento","")&amp;IF(AND($C117&lt;&gt;"",$C117&gt;=TODAY(),$I117&lt;&gt;"",$C117-$I117&lt;IMPOSTAZIONI!$C$6)," · rientro anticipato, meno di "&amp;IMPOSTAZIONI!$C$6&amp;" giorni","")&amp;IF(AND($C117&lt;&gt;"",$C117&gt;=TODAY(),$I117&lt;&gt;"",$C117-$I117&gt;IMPOSTAZIONI!$C$7)," · rientro oltre "&amp;IMPOSTAZIONI!$C$7&amp;" giorni",""),4,300)))</f>
        <v/>
      </c>
      <c r="G117" s="16" t="n"/>
      <c r="H117" s="11" t="n"/>
      <c r="I117" s="13" t="n"/>
      <c r="J117" s="17">
        <f>IF($I117="","",TODAY()-$I117)</f>
        <v/>
      </c>
      <c r="K117" s="17">
        <f>IF($C117="","",$C117-TODAY())</f>
        <v/>
      </c>
      <c r="L117" s="15">
        <f>IF($A117="","",N($D117)&amp;"/"&amp;IMPOSTAZIONI!$C$5)</f>
        <v/>
      </c>
      <c r="M117" s="15">
        <f>IF($S117="","",IF($S117="RECUPERA CON INCENTIVO",INCENTIVI!$C$7,IF($S117="RICHIAMO MANTENIMENTO",INCENTIVI!$C$6,IF(OR($S117="FUORI FINESTRA",$S117="ULTIMA SEDUTA"),INCENTIVI!$C$5,""))))</f>
        <v/>
      </c>
      <c r="N117" s="18" t="n"/>
      <c r="O117" s="19">
        <f>IF($A117="","",N($D117)*N($N117))</f>
        <v/>
      </c>
      <c r="P117" s="19">
        <f>IF($A117="","",MAX(0,(IMPOSTAZIONI!$C$5-N($D117))*N($N117)))</f>
        <v/>
      </c>
      <c r="Q117" s="13" t="n"/>
      <c r="R117" s="11" t="n"/>
      <c r="S117" s="15">
        <f>IF($A117="","",IF(AND($C117&lt;&gt;"",$C117&lt;TODAY(),OR($I117="",$I117&lt;$C117)),"APPUNTAMENTO SALTATO",IF(AND($C117&lt;&gt;"",$C117-TODAY()=1),"CONFERMA DOMANI",IF(AND($C117&lt;&gt;"",$C117-TODAY()=IMPOSTAZIONI!$C$8),"CHIAMA PER CONFERMA",IF(AND($C117&lt;&gt;"",$C117&gt;=TODAY()),"",IF($E117="Sospesa","",IF($E117="Persa","RECUPERA CON INCENTIVO",IF(AND($I117&lt;&gt;"",TODAY()&gt;=EDATE($I117,IMPOSTAZIONI!$C$10)),"RECUPERA CON INCENTIVO",IF($E117="Mantenimento",IF(AND($I117&lt;&gt;"",TODAY()-$I117&gt;=IMPOSTAZIONI!$C$9),"RICHIAMO MANTENIMENTO",""),IF($E117="In ciclo",IF(N($D117)&gt;=IMPOSTAZIONI!$C$5,"ULTIMA SEDUTA",IF(AND($I117&lt;&gt;"",TODAY()-$I117&gt;IMPOSTAZIONI!$C$7),"FUORI FINESTRA","PRENDI APPUNTAMENTO")),IF($E117="Da contattare","PRENDI APPUNTAMENTO","")))))))))))</f>
        <v/>
      </c>
      <c r="T117" s="17">
        <f>IF($S117="","",IFERROR(MATCH($S117,IMPOSTAZIONI!$F$5:$F$12,0),9)*100000000+(9999-MIN(9999,ROUND(N($O117)/100,0)))*10000+ROW())</f>
        <v/>
      </c>
    </row>
    <row r="118">
      <c r="A118" s="11" t="n"/>
      <c r="B118" s="12">
        <f>IF($S118="","",IFERROR(MATCH($S118,IMPOSTAZIONI!$F$5:$F$12,0),9)&amp;" · "&amp;$S118)</f>
        <v/>
      </c>
      <c r="C118" s="13" t="n"/>
      <c r="D118" s="14" t="n"/>
      <c r="E118" s="11" t="n"/>
      <c r="F118" s="15">
        <f>IF($A118="","",IF(LEN(IF(AND($C118&lt;&gt;"",$C118=TODAY())," · oggi in centro","")&amp;IF(AND($C118&lt;&gt;"",$C118&gt;=TODAY(),N($D118)+1&gt;=IMPOSTAZIONI!$C$5)," · ultima del ciclo, proponi il mantenimento","")&amp;IF(AND($C118&lt;&gt;"",$C118&gt;=TODAY(),$I118&lt;&gt;"",$C118-$I118&lt;IMPOSTAZIONI!$C$6)," · rientro anticipato, meno di "&amp;IMPOSTAZIONI!$C$6&amp;" giorni","")&amp;IF(AND($C118&lt;&gt;"",$C118&gt;=TODAY(),$I118&lt;&gt;"",$C118-$I118&gt;IMPOSTAZIONI!$C$7)," · rientro oltre "&amp;IMPOSTAZIONI!$C$7&amp;" giorni",""))=0,"",MID(IF(AND($C118&lt;&gt;"",$C118=TODAY())," · oggi in centro","")&amp;IF(AND($C118&lt;&gt;"",$C118&gt;=TODAY(),N($D118)+1&gt;=IMPOSTAZIONI!$C$5)," · ultima del ciclo, proponi il mantenimento","")&amp;IF(AND($C118&lt;&gt;"",$C118&gt;=TODAY(),$I118&lt;&gt;"",$C118-$I118&lt;IMPOSTAZIONI!$C$6)," · rientro anticipato, meno di "&amp;IMPOSTAZIONI!$C$6&amp;" giorni","")&amp;IF(AND($C118&lt;&gt;"",$C118&gt;=TODAY(),$I118&lt;&gt;"",$C118-$I118&gt;IMPOSTAZIONI!$C$7)," · rientro oltre "&amp;IMPOSTAZIONI!$C$7&amp;" giorni",""),4,300)))</f>
        <v/>
      </c>
      <c r="G118" s="16" t="n"/>
      <c r="H118" s="11" t="n"/>
      <c r="I118" s="13" t="n"/>
      <c r="J118" s="17">
        <f>IF($I118="","",TODAY()-$I118)</f>
        <v/>
      </c>
      <c r="K118" s="17">
        <f>IF($C118="","",$C118-TODAY())</f>
        <v/>
      </c>
      <c r="L118" s="15">
        <f>IF($A118="","",N($D118)&amp;"/"&amp;IMPOSTAZIONI!$C$5)</f>
        <v/>
      </c>
      <c r="M118" s="15">
        <f>IF($S118="","",IF($S118="RECUPERA CON INCENTIVO",INCENTIVI!$C$7,IF($S118="RICHIAMO MANTENIMENTO",INCENTIVI!$C$6,IF(OR($S118="FUORI FINESTRA",$S118="ULTIMA SEDUTA"),INCENTIVI!$C$5,""))))</f>
        <v/>
      </c>
      <c r="N118" s="18" t="n"/>
      <c r="O118" s="19">
        <f>IF($A118="","",N($D118)*N($N118))</f>
        <v/>
      </c>
      <c r="P118" s="19">
        <f>IF($A118="","",MAX(0,(IMPOSTAZIONI!$C$5-N($D118))*N($N118)))</f>
        <v/>
      </c>
      <c r="Q118" s="13" t="n"/>
      <c r="R118" s="11" t="n"/>
      <c r="S118" s="15">
        <f>IF($A118="","",IF(AND($C118&lt;&gt;"",$C118&lt;TODAY(),OR($I118="",$I118&lt;$C118)),"APPUNTAMENTO SALTATO",IF(AND($C118&lt;&gt;"",$C118-TODAY()=1),"CONFERMA DOMANI",IF(AND($C118&lt;&gt;"",$C118-TODAY()=IMPOSTAZIONI!$C$8),"CHIAMA PER CONFERMA",IF(AND($C118&lt;&gt;"",$C118&gt;=TODAY()),"",IF($E118="Sospesa","",IF($E118="Persa","RECUPERA CON INCENTIVO",IF(AND($I118&lt;&gt;"",TODAY()&gt;=EDATE($I118,IMPOSTAZIONI!$C$10)),"RECUPERA CON INCENTIVO",IF($E118="Mantenimento",IF(AND($I118&lt;&gt;"",TODAY()-$I118&gt;=IMPOSTAZIONI!$C$9),"RICHIAMO MANTENIMENTO",""),IF($E118="In ciclo",IF(N($D118)&gt;=IMPOSTAZIONI!$C$5,"ULTIMA SEDUTA",IF(AND($I118&lt;&gt;"",TODAY()-$I118&gt;IMPOSTAZIONI!$C$7),"FUORI FINESTRA","PRENDI APPUNTAMENTO")),IF($E118="Da contattare","PRENDI APPUNTAMENTO","")))))))))))</f>
        <v/>
      </c>
      <c r="T118" s="17">
        <f>IF($S118="","",IFERROR(MATCH($S118,IMPOSTAZIONI!$F$5:$F$12,0),9)*100000000+(9999-MIN(9999,ROUND(N($O118)/100,0)))*10000+ROW())</f>
        <v/>
      </c>
    </row>
    <row r="119">
      <c r="A119" s="11" t="n"/>
      <c r="B119" s="12">
        <f>IF($S119="","",IFERROR(MATCH($S119,IMPOSTAZIONI!$F$5:$F$12,0),9)&amp;" · "&amp;$S119)</f>
        <v/>
      </c>
      <c r="C119" s="13" t="n"/>
      <c r="D119" s="14" t="n"/>
      <c r="E119" s="11" t="n"/>
      <c r="F119" s="15">
        <f>IF($A119="","",IF(LEN(IF(AND($C119&lt;&gt;"",$C119=TODAY())," · oggi in centro","")&amp;IF(AND($C119&lt;&gt;"",$C119&gt;=TODAY(),N($D119)+1&gt;=IMPOSTAZIONI!$C$5)," · ultima del ciclo, proponi il mantenimento","")&amp;IF(AND($C119&lt;&gt;"",$C119&gt;=TODAY(),$I119&lt;&gt;"",$C119-$I119&lt;IMPOSTAZIONI!$C$6)," · rientro anticipato, meno di "&amp;IMPOSTAZIONI!$C$6&amp;" giorni","")&amp;IF(AND($C119&lt;&gt;"",$C119&gt;=TODAY(),$I119&lt;&gt;"",$C119-$I119&gt;IMPOSTAZIONI!$C$7)," · rientro oltre "&amp;IMPOSTAZIONI!$C$7&amp;" giorni",""))=0,"",MID(IF(AND($C119&lt;&gt;"",$C119=TODAY())," · oggi in centro","")&amp;IF(AND($C119&lt;&gt;"",$C119&gt;=TODAY(),N($D119)+1&gt;=IMPOSTAZIONI!$C$5)," · ultima del ciclo, proponi il mantenimento","")&amp;IF(AND($C119&lt;&gt;"",$C119&gt;=TODAY(),$I119&lt;&gt;"",$C119-$I119&lt;IMPOSTAZIONI!$C$6)," · rientro anticipato, meno di "&amp;IMPOSTAZIONI!$C$6&amp;" giorni","")&amp;IF(AND($C119&lt;&gt;"",$C119&gt;=TODAY(),$I119&lt;&gt;"",$C119-$I119&gt;IMPOSTAZIONI!$C$7)," · rientro oltre "&amp;IMPOSTAZIONI!$C$7&amp;" giorni",""),4,300)))</f>
        <v/>
      </c>
      <c r="G119" s="16" t="n"/>
      <c r="H119" s="11" t="n"/>
      <c r="I119" s="13" t="n"/>
      <c r="J119" s="17">
        <f>IF($I119="","",TODAY()-$I119)</f>
        <v/>
      </c>
      <c r="K119" s="17">
        <f>IF($C119="","",$C119-TODAY())</f>
        <v/>
      </c>
      <c r="L119" s="15">
        <f>IF($A119="","",N($D119)&amp;"/"&amp;IMPOSTAZIONI!$C$5)</f>
        <v/>
      </c>
      <c r="M119" s="15">
        <f>IF($S119="","",IF($S119="RECUPERA CON INCENTIVO",INCENTIVI!$C$7,IF($S119="RICHIAMO MANTENIMENTO",INCENTIVI!$C$6,IF(OR($S119="FUORI FINESTRA",$S119="ULTIMA SEDUTA"),INCENTIVI!$C$5,""))))</f>
        <v/>
      </c>
      <c r="N119" s="18" t="n"/>
      <c r="O119" s="19">
        <f>IF($A119="","",N($D119)*N($N119))</f>
        <v/>
      </c>
      <c r="P119" s="19">
        <f>IF($A119="","",MAX(0,(IMPOSTAZIONI!$C$5-N($D119))*N($N119)))</f>
        <v/>
      </c>
      <c r="Q119" s="13" t="n"/>
      <c r="R119" s="11" t="n"/>
      <c r="S119" s="15">
        <f>IF($A119="","",IF(AND($C119&lt;&gt;"",$C119&lt;TODAY(),OR($I119="",$I119&lt;$C119)),"APPUNTAMENTO SALTATO",IF(AND($C119&lt;&gt;"",$C119-TODAY()=1),"CONFERMA DOMANI",IF(AND($C119&lt;&gt;"",$C119-TODAY()=IMPOSTAZIONI!$C$8),"CHIAMA PER CONFERMA",IF(AND($C119&lt;&gt;"",$C119&gt;=TODAY()),"",IF($E119="Sospesa","",IF($E119="Persa","RECUPERA CON INCENTIVO",IF(AND($I119&lt;&gt;"",TODAY()&gt;=EDATE($I119,IMPOSTAZIONI!$C$10)),"RECUPERA CON INCENTIVO",IF($E119="Mantenimento",IF(AND($I119&lt;&gt;"",TODAY()-$I119&gt;=IMPOSTAZIONI!$C$9),"RICHIAMO MANTENIMENTO",""),IF($E119="In ciclo",IF(N($D119)&gt;=IMPOSTAZIONI!$C$5,"ULTIMA SEDUTA",IF(AND($I119&lt;&gt;"",TODAY()-$I119&gt;IMPOSTAZIONI!$C$7),"FUORI FINESTRA","PRENDI APPUNTAMENTO")),IF($E119="Da contattare","PRENDI APPUNTAMENTO","")))))))))))</f>
        <v/>
      </c>
      <c r="T119" s="17">
        <f>IF($S119="","",IFERROR(MATCH($S119,IMPOSTAZIONI!$F$5:$F$12,0),9)*100000000+(9999-MIN(9999,ROUND(N($O119)/100,0)))*10000+ROW())</f>
        <v/>
      </c>
    </row>
    <row r="120">
      <c r="A120" s="11" t="n"/>
      <c r="B120" s="12">
        <f>IF($S120="","",IFERROR(MATCH($S120,IMPOSTAZIONI!$F$5:$F$12,0),9)&amp;" · "&amp;$S120)</f>
        <v/>
      </c>
      <c r="C120" s="13" t="n"/>
      <c r="D120" s="14" t="n"/>
      <c r="E120" s="11" t="n"/>
      <c r="F120" s="15">
        <f>IF($A120="","",IF(LEN(IF(AND($C120&lt;&gt;"",$C120=TODAY())," · oggi in centro","")&amp;IF(AND($C120&lt;&gt;"",$C120&gt;=TODAY(),N($D120)+1&gt;=IMPOSTAZIONI!$C$5)," · ultima del ciclo, proponi il mantenimento","")&amp;IF(AND($C120&lt;&gt;"",$C120&gt;=TODAY(),$I120&lt;&gt;"",$C120-$I120&lt;IMPOSTAZIONI!$C$6)," · rientro anticipato, meno di "&amp;IMPOSTAZIONI!$C$6&amp;" giorni","")&amp;IF(AND($C120&lt;&gt;"",$C120&gt;=TODAY(),$I120&lt;&gt;"",$C120-$I120&gt;IMPOSTAZIONI!$C$7)," · rientro oltre "&amp;IMPOSTAZIONI!$C$7&amp;" giorni",""))=0,"",MID(IF(AND($C120&lt;&gt;"",$C120=TODAY())," · oggi in centro","")&amp;IF(AND($C120&lt;&gt;"",$C120&gt;=TODAY(),N($D120)+1&gt;=IMPOSTAZIONI!$C$5)," · ultima del ciclo, proponi il mantenimento","")&amp;IF(AND($C120&lt;&gt;"",$C120&gt;=TODAY(),$I120&lt;&gt;"",$C120-$I120&lt;IMPOSTAZIONI!$C$6)," · rientro anticipato, meno di "&amp;IMPOSTAZIONI!$C$6&amp;" giorni","")&amp;IF(AND($C120&lt;&gt;"",$C120&gt;=TODAY(),$I120&lt;&gt;"",$C120-$I120&gt;IMPOSTAZIONI!$C$7)," · rientro oltre "&amp;IMPOSTAZIONI!$C$7&amp;" giorni",""),4,300)))</f>
        <v/>
      </c>
      <c r="G120" s="16" t="n"/>
      <c r="H120" s="11" t="n"/>
      <c r="I120" s="13" t="n"/>
      <c r="J120" s="17">
        <f>IF($I120="","",TODAY()-$I120)</f>
        <v/>
      </c>
      <c r="K120" s="17">
        <f>IF($C120="","",$C120-TODAY())</f>
        <v/>
      </c>
      <c r="L120" s="15">
        <f>IF($A120="","",N($D120)&amp;"/"&amp;IMPOSTAZIONI!$C$5)</f>
        <v/>
      </c>
      <c r="M120" s="15">
        <f>IF($S120="","",IF($S120="RECUPERA CON INCENTIVO",INCENTIVI!$C$7,IF($S120="RICHIAMO MANTENIMENTO",INCENTIVI!$C$6,IF(OR($S120="FUORI FINESTRA",$S120="ULTIMA SEDUTA"),INCENTIVI!$C$5,""))))</f>
        <v/>
      </c>
      <c r="N120" s="18" t="n"/>
      <c r="O120" s="19">
        <f>IF($A120="","",N($D120)*N($N120))</f>
        <v/>
      </c>
      <c r="P120" s="19">
        <f>IF($A120="","",MAX(0,(IMPOSTAZIONI!$C$5-N($D120))*N($N120)))</f>
        <v/>
      </c>
      <c r="Q120" s="13" t="n"/>
      <c r="R120" s="11" t="n"/>
      <c r="S120" s="15">
        <f>IF($A120="","",IF(AND($C120&lt;&gt;"",$C120&lt;TODAY(),OR($I120="",$I120&lt;$C120)),"APPUNTAMENTO SALTATO",IF(AND($C120&lt;&gt;"",$C120-TODAY()=1),"CONFERMA DOMANI",IF(AND($C120&lt;&gt;"",$C120-TODAY()=IMPOSTAZIONI!$C$8),"CHIAMA PER CONFERMA",IF(AND($C120&lt;&gt;"",$C120&gt;=TODAY()),"",IF($E120="Sospesa","",IF($E120="Persa","RECUPERA CON INCENTIVO",IF(AND($I120&lt;&gt;"",TODAY()&gt;=EDATE($I120,IMPOSTAZIONI!$C$10)),"RECUPERA CON INCENTIVO",IF($E120="Mantenimento",IF(AND($I120&lt;&gt;"",TODAY()-$I120&gt;=IMPOSTAZIONI!$C$9),"RICHIAMO MANTENIMENTO",""),IF($E120="In ciclo",IF(N($D120)&gt;=IMPOSTAZIONI!$C$5,"ULTIMA SEDUTA",IF(AND($I120&lt;&gt;"",TODAY()-$I120&gt;IMPOSTAZIONI!$C$7),"FUORI FINESTRA","PRENDI APPUNTAMENTO")),IF($E120="Da contattare","PRENDI APPUNTAMENTO","")))))))))))</f>
        <v/>
      </c>
      <c r="T120" s="17">
        <f>IF($S120="","",IFERROR(MATCH($S120,IMPOSTAZIONI!$F$5:$F$12,0),9)*100000000+(9999-MIN(9999,ROUND(N($O120)/100,0)))*10000+ROW())</f>
        <v/>
      </c>
    </row>
    <row r="121">
      <c r="A121" s="11" t="n"/>
      <c r="B121" s="12">
        <f>IF($S121="","",IFERROR(MATCH($S121,IMPOSTAZIONI!$F$5:$F$12,0),9)&amp;" · "&amp;$S121)</f>
        <v/>
      </c>
      <c r="C121" s="13" t="n"/>
      <c r="D121" s="14" t="n"/>
      <c r="E121" s="11" t="n"/>
      <c r="F121" s="15">
        <f>IF($A121="","",IF(LEN(IF(AND($C121&lt;&gt;"",$C121=TODAY())," · oggi in centro","")&amp;IF(AND($C121&lt;&gt;"",$C121&gt;=TODAY(),N($D121)+1&gt;=IMPOSTAZIONI!$C$5)," · ultima del ciclo, proponi il mantenimento","")&amp;IF(AND($C121&lt;&gt;"",$C121&gt;=TODAY(),$I121&lt;&gt;"",$C121-$I121&lt;IMPOSTAZIONI!$C$6)," · rientro anticipato, meno di "&amp;IMPOSTAZIONI!$C$6&amp;" giorni","")&amp;IF(AND($C121&lt;&gt;"",$C121&gt;=TODAY(),$I121&lt;&gt;"",$C121-$I121&gt;IMPOSTAZIONI!$C$7)," · rientro oltre "&amp;IMPOSTAZIONI!$C$7&amp;" giorni",""))=0,"",MID(IF(AND($C121&lt;&gt;"",$C121=TODAY())," · oggi in centro","")&amp;IF(AND($C121&lt;&gt;"",$C121&gt;=TODAY(),N($D121)+1&gt;=IMPOSTAZIONI!$C$5)," · ultima del ciclo, proponi il mantenimento","")&amp;IF(AND($C121&lt;&gt;"",$C121&gt;=TODAY(),$I121&lt;&gt;"",$C121-$I121&lt;IMPOSTAZIONI!$C$6)," · rientro anticipato, meno di "&amp;IMPOSTAZIONI!$C$6&amp;" giorni","")&amp;IF(AND($C121&lt;&gt;"",$C121&gt;=TODAY(),$I121&lt;&gt;"",$C121-$I121&gt;IMPOSTAZIONI!$C$7)," · rientro oltre "&amp;IMPOSTAZIONI!$C$7&amp;" giorni",""),4,300)))</f>
        <v/>
      </c>
      <c r="G121" s="16" t="n"/>
      <c r="H121" s="11" t="n"/>
      <c r="I121" s="13" t="n"/>
      <c r="J121" s="17">
        <f>IF($I121="","",TODAY()-$I121)</f>
        <v/>
      </c>
      <c r="K121" s="17">
        <f>IF($C121="","",$C121-TODAY())</f>
        <v/>
      </c>
      <c r="L121" s="15">
        <f>IF($A121="","",N($D121)&amp;"/"&amp;IMPOSTAZIONI!$C$5)</f>
        <v/>
      </c>
      <c r="M121" s="15">
        <f>IF($S121="","",IF($S121="RECUPERA CON INCENTIVO",INCENTIVI!$C$7,IF($S121="RICHIAMO MANTENIMENTO",INCENTIVI!$C$6,IF(OR($S121="FUORI FINESTRA",$S121="ULTIMA SEDUTA"),INCENTIVI!$C$5,""))))</f>
        <v/>
      </c>
      <c r="N121" s="18" t="n"/>
      <c r="O121" s="19">
        <f>IF($A121="","",N($D121)*N($N121))</f>
        <v/>
      </c>
      <c r="P121" s="19">
        <f>IF($A121="","",MAX(0,(IMPOSTAZIONI!$C$5-N($D121))*N($N121)))</f>
        <v/>
      </c>
      <c r="Q121" s="13" t="n"/>
      <c r="R121" s="11" t="n"/>
      <c r="S121" s="15">
        <f>IF($A121="","",IF(AND($C121&lt;&gt;"",$C121&lt;TODAY(),OR($I121="",$I121&lt;$C121)),"APPUNTAMENTO SALTATO",IF(AND($C121&lt;&gt;"",$C121-TODAY()=1),"CONFERMA DOMANI",IF(AND($C121&lt;&gt;"",$C121-TODAY()=IMPOSTAZIONI!$C$8),"CHIAMA PER CONFERMA",IF(AND($C121&lt;&gt;"",$C121&gt;=TODAY()),"",IF($E121="Sospesa","",IF($E121="Persa","RECUPERA CON INCENTIVO",IF(AND($I121&lt;&gt;"",TODAY()&gt;=EDATE($I121,IMPOSTAZIONI!$C$10)),"RECUPERA CON INCENTIVO",IF($E121="Mantenimento",IF(AND($I121&lt;&gt;"",TODAY()-$I121&gt;=IMPOSTAZIONI!$C$9),"RICHIAMO MANTENIMENTO",""),IF($E121="In ciclo",IF(N($D121)&gt;=IMPOSTAZIONI!$C$5,"ULTIMA SEDUTA",IF(AND($I121&lt;&gt;"",TODAY()-$I121&gt;IMPOSTAZIONI!$C$7),"FUORI FINESTRA","PRENDI APPUNTAMENTO")),IF($E121="Da contattare","PRENDI APPUNTAMENTO","")))))))))))</f>
        <v/>
      </c>
      <c r="T121" s="17">
        <f>IF($S121="","",IFERROR(MATCH($S121,IMPOSTAZIONI!$F$5:$F$12,0),9)*100000000+(9999-MIN(9999,ROUND(N($O121)/100,0)))*10000+ROW())</f>
        <v/>
      </c>
    </row>
    <row r="122">
      <c r="A122" s="11" t="n"/>
      <c r="B122" s="12">
        <f>IF($S122="","",IFERROR(MATCH($S122,IMPOSTAZIONI!$F$5:$F$12,0),9)&amp;" · "&amp;$S122)</f>
        <v/>
      </c>
      <c r="C122" s="13" t="n"/>
      <c r="D122" s="14" t="n"/>
      <c r="E122" s="11" t="n"/>
      <c r="F122" s="15">
        <f>IF($A122="","",IF(LEN(IF(AND($C122&lt;&gt;"",$C122=TODAY())," · oggi in centro","")&amp;IF(AND($C122&lt;&gt;"",$C122&gt;=TODAY(),N($D122)+1&gt;=IMPOSTAZIONI!$C$5)," · ultima del ciclo, proponi il mantenimento","")&amp;IF(AND($C122&lt;&gt;"",$C122&gt;=TODAY(),$I122&lt;&gt;"",$C122-$I122&lt;IMPOSTAZIONI!$C$6)," · rientro anticipato, meno di "&amp;IMPOSTAZIONI!$C$6&amp;" giorni","")&amp;IF(AND($C122&lt;&gt;"",$C122&gt;=TODAY(),$I122&lt;&gt;"",$C122-$I122&gt;IMPOSTAZIONI!$C$7)," · rientro oltre "&amp;IMPOSTAZIONI!$C$7&amp;" giorni",""))=0,"",MID(IF(AND($C122&lt;&gt;"",$C122=TODAY())," · oggi in centro","")&amp;IF(AND($C122&lt;&gt;"",$C122&gt;=TODAY(),N($D122)+1&gt;=IMPOSTAZIONI!$C$5)," · ultima del ciclo, proponi il mantenimento","")&amp;IF(AND($C122&lt;&gt;"",$C122&gt;=TODAY(),$I122&lt;&gt;"",$C122-$I122&lt;IMPOSTAZIONI!$C$6)," · rientro anticipato, meno di "&amp;IMPOSTAZIONI!$C$6&amp;" giorni","")&amp;IF(AND($C122&lt;&gt;"",$C122&gt;=TODAY(),$I122&lt;&gt;"",$C122-$I122&gt;IMPOSTAZIONI!$C$7)," · rientro oltre "&amp;IMPOSTAZIONI!$C$7&amp;" giorni",""),4,300)))</f>
        <v/>
      </c>
      <c r="G122" s="16" t="n"/>
      <c r="H122" s="11" t="n"/>
      <c r="I122" s="13" t="n"/>
      <c r="J122" s="17">
        <f>IF($I122="","",TODAY()-$I122)</f>
        <v/>
      </c>
      <c r="K122" s="17">
        <f>IF($C122="","",$C122-TODAY())</f>
        <v/>
      </c>
      <c r="L122" s="15">
        <f>IF($A122="","",N($D122)&amp;"/"&amp;IMPOSTAZIONI!$C$5)</f>
        <v/>
      </c>
      <c r="M122" s="15">
        <f>IF($S122="","",IF($S122="RECUPERA CON INCENTIVO",INCENTIVI!$C$7,IF($S122="RICHIAMO MANTENIMENTO",INCENTIVI!$C$6,IF(OR($S122="FUORI FINESTRA",$S122="ULTIMA SEDUTA"),INCENTIVI!$C$5,""))))</f>
        <v/>
      </c>
      <c r="N122" s="18" t="n"/>
      <c r="O122" s="19">
        <f>IF($A122="","",N($D122)*N($N122))</f>
        <v/>
      </c>
      <c r="P122" s="19">
        <f>IF($A122="","",MAX(0,(IMPOSTAZIONI!$C$5-N($D122))*N($N122)))</f>
        <v/>
      </c>
      <c r="Q122" s="13" t="n"/>
      <c r="R122" s="11" t="n"/>
      <c r="S122" s="15">
        <f>IF($A122="","",IF(AND($C122&lt;&gt;"",$C122&lt;TODAY(),OR($I122="",$I122&lt;$C122)),"APPUNTAMENTO SALTATO",IF(AND($C122&lt;&gt;"",$C122-TODAY()=1),"CONFERMA DOMANI",IF(AND($C122&lt;&gt;"",$C122-TODAY()=IMPOSTAZIONI!$C$8),"CHIAMA PER CONFERMA",IF(AND($C122&lt;&gt;"",$C122&gt;=TODAY()),"",IF($E122="Sospesa","",IF($E122="Persa","RECUPERA CON INCENTIVO",IF(AND($I122&lt;&gt;"",TODAY()&gt;=EDATE($I122,IMPOSTAZIONI!$C$10)),"RECUPERA CON INCENTIVO",IF($E122="Mantenimento",IF(AND($I122&lt;&gt;"",TODAY()-$I122&gt;=IMPOSTAZIONI!$C$9),"RICHIAMO MANTENIMENTO",""),IF($E122="In ciclo",IF(N($D122)&gt;=IMPOSTAZIONI!$C$5,"ULTIMA SEDUTA",IF(AND($I122&lt;&gt;"",TODAY()-$I122&gt;IMPOSTAZIONI!$C$7),"FUORI FINESTRA","PRENDI APPUNTAMENTO")),IF($E122="Da contattare","PRENDI APPUNTAMENTO","")))))))))))</f>
        <v/>
      </c>
      <c r="T122" s="17">
        <f>IF($S122="","",IFERROR(MATCH($S122,IMPOSTAZIONI!$F$5:$F$12,0),9)*100000000+(9999-MIN(9999,ROUND(N($O122)/100,0)))*10000+ROW())</f>
        <v/>
      </c>
    </row>
    <row r="123">
      <c r="A123" s="11" t="n"/>
      <c r="B123" s="12">
        <f>IF($S123="","",IFERROR(MATCH($S123,IMPOSTAZIONI!$F$5:$F$12,0),9)&amp;" · "&amp;$S123)</f>
        <v/>
      </c>
      <c r="C123" s="13" t="n"/>
      <c r="D123" s="14" t="n"/>
      <c r="E123" s="11" t="n"/>
      <c r="F123" s="15">
        <f>IF($A123="","",IF(LEN(IF(AND($C123&lt;&gt;"",$C123=TODAY())," · oggi in centro","")&amp;IF(AND($C123&lt;&gt;"",$C123&gt;=TODAY(),N($D123)+1&gt;=IMPOSTAZIONI!$C$5)," · ultima del ciclo, proponi il mantenimento","")&amp;IF(AND($C123&lt;&gt;"",$C123&gt;=TODAY(),$I123&lt;&gt;"",$C123-$I123&lt;IMPOSTAZIONI!$C$6)," · rientro anticipato, meno di "&amp;IMPOSTAZIONI!$C$6&amp;" giorni","")&amp;IF(AND($C123&lt;&gt;"",$C123&gt;=TODAY(),$I123&lt;&gt;"",$C123-$I123&gt;IMPOSTAZIONI!$C$7)," · rientro oltre "&amp;IMPOSTAZIONI!$C$7&amp;" giorni",""))=0,"",MID(IF(AND($C123&lt;&gt;"",$C123=TODAY())," · oggi in centro","")&amp;IF(AND($C123&lt;&gt;"",$C123&gt;=TODAY(),N($D123)+1&gt;=IMPOSTAZIONI!$C$5)," · ultima del ciclo, proponi il mantenimento","")&amp;IF(AND($C123&lt;&gt;"",$C123&gt;=TODAY(),$I123&lt;&gt;"",$C123-$I123&lt;IMPOSTAZIONI!$C$6)," · rientro anticipato, meno di "&amp;IMPOSTAZIONI!$C$6&amp;" giorni","")&amp;IF(AND($C123&lt;&gt;"",$C123&gt;=TODAY(),$I123&lt;&gt;"",$C123-$I123&gt;IMPOSTAZIONI!$C$7)," · rientro oltre "&amp;IMPOSTAZIONI!$C$7&amp;" giorni",""),4,300)))</f>
        <v/>
      </c>
      <c r="G123" s="16" t="n"/>
      <c r="H123" s="11" t="n"/>
      <c r="I123" s="13" t="n"/>
      <c r="J123" s="17">
        <f>IF($I123="","",TODAY()-$I123)</f>
        <v/>
      </c>
      <c r="K123" s="17">
        <f>IF($C123="","",$C123-TODAY())</f>
        <v/>
      </c>
      <c r="L123" s="15">
        <f>IF($A123="","",N($D123)&amp;"/"&amp;IMPOSTAZIONI!$C$5)</f>
        <v/>
      </c>
      <c r="M123" s="15">
        <f>IF($S123="","",IF($S123="RECUPERA CON INCENTIVO",INCENTIVI!$C$7,IF($S123="RICHIAMO MANTENIMENTO",INCENTIVI!$C$6,IF(OR($S123="FUORI FINESTRA",$S123="ULTIMA SEDUTA"),INCENTIVI!$C$5,""))))</f>
        <v/>
      </c>
      <c r="N123" s="18" t="n"/>
      <c r="O123" s="19">
        <f>IF($A123="","",N($D123)*N($N123))</f>
        <v/>
      </c>
      <c r="P123" s="19">
        <f>IF($A123="","",MAX(0,(IMPOSTAZIONI!$C$5-N($D123))*N($N123)))</f>
        <v/>
      </c>
      <c r="Q123" s="13" t="n"/>
      <c r="R123" s="11" t="n"/>
      <c r="S123" s="15">
        <f>IF($A123="","",IF(AND($C123&lt;&gt;"",$C123&lt;TODAY(),OR($I123="",$I123&lt;$C123)),"APPUNTAMENTO SALTATO",IF(AND($C123&lt;&gt;"",$C123-TODAY()=1),"CONFERMA DOMANI",IF(AND($C123&lt;&gt;"",$C123-TODAY()=IMPOSTAZIONI!$C$8),"CHIAMA PER CONFERMA",IF(AND($C123&lt;&gt;"",$C123&gt;=TODAY()),"",IF($E123="Sospesa","",IF($E123="Persa","RECUPERA CON INCENTIVO",IF(AND($I123&lt;&gt;"",TODAY()&gt;=EDATE($I123,IMPOSTAZIONI!$C$10)),"RECUPERA CON INCENTIVO",IF($E123="Mantenimento",IF(AND($I123&lt;&gt;"",TODAY()-$I123&gt;=IMPOSTAZIONI!$C$9),"RICHIAMO MANTENIMENTO",""),IF($E123="In ciclo",IF(N($D123)&gt;=IMPOSTAZIONI!$C$5,"ULTIMA SEDUTA",IF(AND($I123&lt;&gt;"",TODAY()-$I123&gt;IMPOSTAZIONI!$C$7),"FUORI FINESTRA","PRENDI APPUNTAMENTO")),IF($E123="Da contattare","PRENDI APPUNTAMENTO","")))))))))))</f>
        <v/>
      </c>
      <c r="T123" s="17">
        <f>IF($S123="","",IFERROR(MATCH($S123,IMPOSTAZIONI!$F$5:$F$12,0),9)*100000000+(9999-MIN(9999,ROUND(N($O123)/100,0)))*10000+ROW())</f>
        <v/>
      </c>
    </row>
    <row r="124">
      <c r="A124" s="11" t="n"/>
      <c r="B124" s="12">
        <f>IF($S124="","",IFERROR(MATCH($S124,IMPOSTAZIONI!$F$5:$F$12,0),9)&amp;" · "&amp;$S124)</f>
        <v/>
      </c>
      <c r="C124" s="13" t="n"/>
      <c r="D124" s="14" t="n"/>
      <c r="E124" s="11" t="n"/>
      <c r="F124" s="15">
        <f>IF($A124="","",IF(LEN(IF(AND($C124&lt;&gt;"",$C124=TODAY())," · oggi in centro","")&amp;IF(AND($C124&lt;&gt;"",$C124&gt;=TODAY(),N($D124)+1&gt;=IMPOSTAZIONI!$C$5)," · ultima del ciclo, proponi il mantenimento","")&amp;IF(AND($C124&lt;&gt;"",$C124&gt;=TODAY(),$I124&lt;&gt;"",$C124-$I124&lt;IMPOSTAZIONI!$C$6)," · rientro anticipato, meno di "&amp;IMPOSTAZIONI!$C$6&amp;" giorni","")&amp;IF(AND($C124&lt;&gt;"",$C124&gt;=TODAY(),$I124&lt;&gt;"",$C124-$I124&gt;IMPOSTAZIONI!$C$7)," · rientro oltre "&amp;IMPOSTAZIONI!$C$7&amp;" giorni",""))=0,"",MID(IF(AND($C124&lt;&gt;"",$C124=TODAY())," · oggi in centro","")&amp;IF(AND($C124&lt;&gt;"",$C124&gt;=TODAY(),N($D124)+1&gt;=IMPOSTAZIONI!$C$5)," · ultima del ciclo, proponi il mantenimento","")&amp;IF(AND($C124&lt;&gt;"",$C124&gt;=TODAY(),$I124&lt;&gt;"",$C124-$I124&lt;IMPOSTAZIONI!$C$6)," · rientro anticipato, meno di "&amp;IMPOSTAZIONI!$C$6&amp;" giorni","")&amp;IF(AND($C124&lt;&gt;"",$C124&gt;=TODAY(),$I124&lt;&gt;"",$C124-$I124&gt;IMPOSTAZIONI!$C$7)," · rientro oltre "&amp;IMPOSTAZIONI!$C$7&amp;" giorni",""),4,300)))</f>
        <v/>
      </c>
      <c r="G124" s="16" t="n"/>
      <c r="H124" s="11" t="n"/>
      <c r="I124" s="13" t="n"/>
      <c r="J124" s="17">
        <f>IF($I124="","",TODAY()-$I124)</f>
        <v/>
      </c>
      <c r="K124" s="17">
        <f>IF($C124="","",$C124-TODAY())</f>
        <v/>
      </c>
      <c r="L124" s="15">
        <f>IF($A124="","",N($D124)&amp;"/"&amp;IMPOSTAZIONI!$C$5)</f>
        <v/>
      </c>
      <c r="M124" s="15">
        <f>IF($S124="","",IF($S124="RECUPERA CON INCENTIVO",INCENTIVI!$C$7,IF($S124="RICHIAMO MANTENIMENTO",INCENTIVI!$C$6,IF(OR($S124="FUORI FINESTRA",$S124="ULTIMA SEDUTA"),INCENTIVI!$C$5,""))))</f>
        <v/>
      </c>
      <c r="N124" s="18" t="n"/>
      <c r="O124" s="19">
        <f>IF($A124="","",N($D124)*N($N124))</f>
        <v/>
      </c>
      <c r="P124" s="19">
        <f>IF($A124="","",MAX(0,(IMPOSTAZIONI!$C$5-N($D124))*N($N124)))</f>
        <v/>
      </c>
      <c r="Q124" s="13" t="n"/>
      <c r="R124" s="11" t="n"/>
      <c r="S124" s="15">
        <f>IF($A124="","",IF(AND($C124&lt;&gt;"",$C124&lt;TODAY(),OR($I124="",$I124&lt;$C124)),"APPUNTAMENTO SALTATO",IF(AND($C124&lt;&gt;"",$C124-TODAY()=1),"CONFERMA DOMANI",IF(AND($C124&lt;&gt;"",$C124-TODAY()=IMPOSTAZIONI!$C$8),"CHIAMA PER CONFERMA",IF(AND($C124&lt;&gt;"",$C124&gt;=TODAY()),"",IF($E124="Sospesa","",IF($E124="Persa","RECUPERA CON INCENTIVO",IF(AND($I124&lt;&gt;"",TODAY()&gt;=EDATE($I124,IMPOSTAZIONI!$C$10)),"RECUPERA CON INCENTIVO",IF($E124="Mantenimento",IF(AND($I124&lt;&gt;"",TODAY()-$I124&gt;=IMPOSTAZIONI!$C$9),"RICHIAMO MANTENIMENTO",""),IF($E124="In ciclo",IF(N($D124)&gt;=IMPOSTAZIONI!$C$5,"ULTIMA SEDUTA",IF(AND($I124&lt;&gt;"",TODAY()-$I124&gt;IMPOSTAZIONI!$C$7),"FUORI FINESTRA","PRENDI APPUNTAMENTO")),IF($E124="Da contattare","PRENDI APPUNTAMENTO","")))))))))))</f>
        <v/>
      </c>
      <c r="T124" s="17">
        <f>IF($S124="","",IFERROR(MATCH($S124,IMPOSTAZIONI!$F$5:$F$12,0),9)*100000000+(9999-MIN(9999,ROUND(N($O124)/100,0)))*10000+ROW())</f>
        <v/>
      </c>
    </row>
    <row r="125">
      <c r="A125" s="11" t="n"/>
      <c r="B125" s="12">
        <f>IF($S125="","",IFERROR(MATCH($S125,IMPOSTAZIONI!$F$5:$F$12,0),9)&amp;" · "&amp;$S125)</f>
        <v/>
      </c>
      <c r="C125" s="13" t="n"/>
      <c r="D125" s="14" t="n"/>
      <c r="E125" s="11" t="n"/>
      <c r="F125" s="15">
        <f>IF($A125="","",IF(LEN(IF(AND($C125&lt;&gt;"",$C125=TODAY())," · oggi in centro","")&amp;IF(AND($C125&lt;&gt;"",$C125&gt;=TODAY(),N($D125)+1&gt;=IMPOSTAZIONI!$C$5)," · ultima del ciclo, proponi il mantenimento","")&amp;IF(AND($C125&lt;&gt;"",$C125&gt;=TODAY(),$I125&lt;&gt;"",$C125-$I125&lt;IMPOSTAZIONI!$C$6)," · rientro anticipato, meno di "&amp;IMPOSTAZIONI!$C$6&amp;" giorni","")&amp;IF(AND($C125&lt;&gt;"",$C125&gt;=TODAY(),$I125&lt;&gt;"",$C125-$I125&gt;IMPOSTAZIONI!$C$7)," · rientro oltre "&amp;IMPOSTAZIONI!$C$7&amp;" giorni",""))=0,"",MID(IF(AND($C125&lt;&gt;"",$C125=TODAY())," · oggi in centro","")&amp;IF(AND($C125&lt;&gt;"",$C125&gt;=TODAY(),N($D125)+1&gt;=IMPOSTAZIONI!$C$5)," · ultima del ciclo, proponi il mantenimento","")&amp;IF(AND($C125&lt;&gt;"",$C125&gt;=TODAY(),$I125&lt;&gt;"",$C125-$I125&lt;IMPOSTAZIONI!$C$6)," · rientro anticipato, meno di "&amp;IMPOSTAZIONI!$C$6&amp;" giorni","")&amp;IF(AND($C125&lt;&gt;"",$C125&gt;=TODAY(),$I125&lt;&gt;"",$C125-$I125&gt;IMPOSTAZIONI!$C$7)," · rientro oltre "&amp;IMPOSTAZIONI!$C$7&amp;" giorni",""),4,300)))</f>
        <v/>
      </c>
      <c r="G125" s="16" t="n"/>
      <c r="H125" s="11" t="n"/>
      <c r="I125" s="13" t="n"/>
      <c r="J125" s="17">
        <f>IF($I125="","",TODAY()-$I125)</f>
        <v/>
      </c>
      <c r="K125" s="17">
        <f>IF($C125="","",$C125-TODAY())</f>
        <v/>
      </c>
      <c r="L125" s="15">
        <f>IF($A125="","",N($D125)&amp;"/"&amp;IMPOSTAZIONI!$C$5)</f>
        <v/>
      </c>
      <c r="M125" s="15">
        <f>IF($S125="","",IF($S125="RECUPERA CON INCENTIVO",INCENTIVI!$C$7,IF($S125="RICHIAMO MANTENIMENTO",INCENTIVI!$C$6,IF(OR($S125="FUORI FINESTRA",$S125="ULTIMA SEDUTA"),INCENTIVI!$C$5,""))))</f>
        <v/>
      </c>
      <c r="N125" s="18" t="n"/>
      <c r="O125" s="19">
        <f>IF($A125="","",N($D125)*N($N125))</f>
        <v/>
      </c>
      <c r="P125" s="19">
        <f>IF($A125="","",MAX(0,(IMPOSTAZIONI!$C$5-N($D125))*N($N125)))</f>
        <v/>
      </c>
      <c r="Q125" s="13" t="n"/>
      <c r="R125" s="11" t="n"/>
      <c r="S125" s="15">
        <f>IF($A125="","",IF(AND($C125&lt;&gt;"",$C125&lt;TODAY(),OR($I125="",$I125&lt;$C125)),"APPUNTAMENTO SALTATO",IF(AND($C125&lt;&gt;"",$C125-TODAY()=1),"CONFERMA DOMANI",IF(AND($C125&lt;&gt;"",$C125-TODAY()=IMPOSTAZIONI!$C$8),"CHIAMA PER CONFERMA",IF(AND($C125&lt;&gt;"",$C125&gt;=TODAY()),"",IF($E125="Sospesa","",IF($E125="Persa","RECUPERA CON INCENTIVO",IF(AND($I125&lt;&gt;"",TODAY()&gt;=EDATE($I125,IMPOSTAZIONI!$C$10)),"RECUPERA CON INCENTIVO",IF($E125="Mantenimento",IF(AND($I125&lt;&gt;"",TODAY()-$I125&gt;=IMPOSTAZIONI!$C$9),"RICHIAMO MANTENIMENTO",""),IF($E125="In ciclo",IF(N($D125)&gt;=IMPOSTAZIONI!$C$5,"ULTIMA SEDUTA",IF(AND($I125&lt;&gt;"",TODAY()-$I125&gt;IMPOSTAZIONI!$C$7),"FUORI FINESTRA","PRENDI APPUNTAMENTO")),IF($E125="Da contattare","PRENDI APPUNTAMENTO","")))))))))))</f>
        <v/>
      </c>
      <c r="T125" s="17">
        <f>IF($S125="","",IFERROR(MATCH($S125,IMPOSTAZIONI!$F$5:$F$12,0),9)*100000000+(9999-MIN(9999,ROUND(N($O125)/100,0)))*10000+ROW())</f>
        <v/>
      </c>
    </row>
    <row r="126">
      <c r="A126" s="11" t="n"/>
      <c r="B126" s="12">
        <f>IF($S126="","",IFERROR(MATCH($S126,IMPOSTAZIONI!$F$5:$F$12,0),9)&amp;" · "&amp;$S126)</f>
        <v/>
      </c>
      <c r="C126" s="13" t="n"/>
      <c r="D126" s="14" t="n"/>
      <c r="E126" s="11" t="n"/>
      <c r="F126" s="15">
        <f>IF($A126="","",IF(LEN(IF(AND($C126&lt;&gt;"",$C126=TODAY())," · oggi in centro","")&amp;IF(AND($C126&lt;&gt;"",$C126&gt;=TODAY(),N($D126)+1&gt;=IMPOSTAZIONI!$C$5)," · ultima del ciclo, proponi il mantenimento","")&amp;IF(AND($C126&lt;&gt;"",$C126&gt;=TODAY(),$I126&lt;&gt;"",$C126-$I126&lt;IMPOSTAZIONI!$C$6)," · rientro anticipato, meno di "&amp;IMPOSTAZIONI!$C$6&amp;" giorni","")&amp;IF(AND($C126&lt;&gt;"",$C126&gt;=TODAY(),$I126&lt;&gt;"",$C126-$I126&gt;IMPOSTAZIONI!$C$7)," · rientro oltre "&amp;IMPOSTAZIONI!$C$7&amp;" giorni",""))=0,"",MID(IF(AND($C126&lt;&gt;"",$C126=TODAY())," · oggi in centro","")&amp;IF(AND($C126&lt;&gt;"",$C126&gt;=TODAY(),N($D126)+1&gt;=IMPOSTAZIONI!$C$5)," · ultima del ciclo, proponi il mantenimento","")&amp;IF(AND($C126&lt;&gt;"",$C126&gt;=TODAY(),$I126&lt;&gt;"",$C126-$I126&lt;IMPOSTAZIONI!$C$6)," · rientro anticipato, meno di "&amp;IMPOSTAZIONI!$C$6&amp;" giorni","")&amp;IF(AND($C126&lt;&gt;"",$C126&gt;=TODAY(),$I126&lt;&gt;"",$C126-$I126&gt;IMPOSTAZIONI!$C$7)," · rientro oltre "&amp;IMPOSTAZIONI!$C$7&amp;" giorni",""),4,300)))</f>
        <v/>
      </c>
      <c r="G126" s="16" t="n"/>
      <c r="H126" s="11" t="n"/>
      <c r="I126" s="13" t="n"/>
      <c r="J126" s="17">
        <f>IF($I126="","",TODAY()-$I126)</f>
        <v/>
      </c>
      <c r="K126" s="17">
        <f>IF($C126="","",$C126-TODAY())</f>
        <v/>
      </c>
      <c r="L126" s="15">
        <f>IF($A126="","",N($D126)&amp;"/"&amp;IMPOSTAZIONI!$C$5)</f>
        <v/>
      </c>
      <c r="M126" s="15">
        <f>IF($S126="","",IF($S126="RECUPERA CON INCENTIVO",INCENTIVI!$C$7,IF($S126="RICHIAMO MANTENIMENTO",INCENTIVI!$C$6,IF(OR($S126="FUORI FINESTRA",$S126="ULTIMA SEDUTA"),INCENTIVI!$C$5,""))))</f>
        <v/>
      </c>
      <c r="N126" s="18" t="n"/>
      <c r="O126" s="19">
        <f>IF($A126="","",N($D126)*N($N126))</f>
        <v/>
      </c>
      <c r="P126" s="19">
        <f>IF($A126="","",MAX(0,(IMPOSTAZIONI!$C$5-N($D126))*N($N126)))</f>
        <v/>
      </c>
      <c r="Q126" s="13" t="n"/>
      <c r="R126" s="11" t="n"/>
      <c r="S126" s="15">
        <f>IF($A126="","",IF(AND($C126&lt;&gt;"",$C126&lt;TODAY(),OR($I126="",$I126&lt;$C126)),"APPUNTAMENTO SALTATO",IF(AND($C126&lt;&gt;"",$C126-TODAY()=1),"CONFERMA DOMANI",IF(AND($C126&lt;&gt;"",$C126-TODAY()=IMPOSTAZIONI!$C$8),"CHIAMA PER CONFERMA",IF(AND($C126&lt;&gt;"",$C126&gt;=TODAY()),"",IF($E126="Sospesa","",IF($E126="Persa","RECUPERA CON INCENTIVO",IF(AND($I126&lt;&gt;"",TODAY()&gt;=EDATE($I126,IMPOSTAZIONI!$C$10)),"RECUPERA CON INCENTIVO",IF($E126="Mantenimento",IF(AND($I126&lt;&gt;"",TODAY()-$I126&gt;=IMPOSTAZIONI!$C$9),"RICHIAMO MANTENIMENTO",""),IF($E126="In ciclo",IF(N($D126)&gt;=IMPOSTAZIONI!$C$5,"ULTIMA SEDUTA",IF(AND($I126&lt;&gt;"",TODAY()-$I126&gt;IMPOSTAZIONI!$C$7),"FUORI FINESTRA","PRENDI APPUNTAMENTO")),IF($E126="Da contattare","PRENDI APPUNTAMENTO","")))))))))))</f>
        <v/>
      </c>
      <c r="T126" s="17">
        <f>IF($S126="","",IFERROR(MATCH($S126,IMPOSTAZIONI!$F$5:$F$12,0),9)*100000000+(9999-MIN(9999,ROUND(N($O126)/100,0)))*10000+ROW())</f>
        <v/>
      </c>
    </row>
    <row r="127">
      <c r="A127" s="11" t="n"/>
      <c r="B127" s="12">
        <f>IF($S127="","",IFERROR(MATCH($S127,IMPOSTAZIONI!$F$5:$F$12,0),9)&amp;" · "&amp;$S127)</f>
        <v/>
      </c>
      <c r="C127" s="13" t="n"/>
      <c r="D127" s="14" t="n"/>
      <c r="E127" s="11" t="n"/>
      <c r="F127" s="15">
        <f>IF($A127="","",IF(LEN(IF(AND($C127&lt;&gt;"",$C127=TODAY())," · oggi in centro","")&amp;IF(AND($C127&lt;&gt;"",$C127&gt;=TODAY(),N($D127)+1&gt;=IMPOSTAZIONI!$C$5)," · ultima del ciclo, proponi il mantenimento","")&amp;IF(AND($C127&lt;&gt;"",$C127&gt;=TODAY(),$I127&lt;&gt;"",$C127-$I127&lt;IMPOSTAZIONI!$C$6)," · rientro anticipato, meno di "&amp;IMPOSTAZIONI!$C$6&amp;" giorni","")&amp;IF(AND($C127&lt;&gt;"",$C127&gt;=TODAY(),$I127&lt;&gt;"",$C127-$I127&gt;IMPOSTAZIONI!$C$7)," · rientro oltre "&amp;IMPOSTAZIONI!$C$7&amp;" giorni",""))=0,"",MID(IF(AND($C127&lt;&gt;"",$C127=TODAY())," · oggi in centro","")&amp;IF(AND($C127&lt;&gt;"",$C127&gt;=TODAY(),N($D127)+1&gt;=IMPOSTAZIONI!$C$5)," · ultima del ciclo, proponi il mantenimento","")&amp;IF(AND($C127&lt;&gt;"",$C127&gt;=TODAY(),$I127&lt;&gt;"",$C127-$I127&lt;IMPOSTAZIONI!$C$6)," · rientro anticipato, meno di "&amp;IMPOSTAZIONI!$C$6&amp;" giorni","")&amp;IF(AND($C127&lt;&gt;"",$C127&gt;=TODAY(),$I127&lt;&gt;"",$C127-$I127&gt;IMPOSTAZIONI!$C$7)," · rientro oltre "&amp;IMPOSTAZIONI!$C$7&amp;" giorni",""),4,300)))</f>
        <v/>
      </c>
      <c r="G127" s="16" t="n"/>
      <c r="H127" s="11" t="n"/>
      <c r="I127" s="13" t="n"/>
      <c r="J127" s="17">
        <f>IF($I127="","",TODAY()-$I127)</f>
        <v/>
      </c>
      <c r="K127" s="17">
        <f>IF($C127="","",$C127-TODAY())</f>
        <v/>
      </c>
      <c r="L127" s="15">
        <f>IF($A127="","",N($D127)&amp;"/"&amp;IMPOSTAZIONI!$C$5)</f>
        <v/>
      </c>
      <c r="M127" s="15">
        <f>IF($S127="","",IF($S127="RECUPERA CON INCENTIVO",INCENTIVI!$C$7,IF($S127="RICHIAMO MANTENIMENTO",INCENTIVI!$C$6,IF(OR($S127="FUORI FINESTRA",$S127="ULTIMA SEDUTA"),INCENTIVI!$C$5,""))))</f>
        <v/>
      </c>
      <c r="N127" s="18" t="n"/>
      <c r="O127" s="19">
        <f>IF($A127="","",N($D127)*N($N127))</f>
        <v/>
      </c>
      <c r="P127" s="19">
        <f>IF($A127="","",MAX(0,(IMPOSTAZIONI!$C$5-N($D127))*N($N127)))</f>
        <v/>
      </c>
      <c r="Q127" s="13" t="n"/>
      <c r="R127" s="11" t="n"/>
      <c r="S127" s="15">
        <f>IF($A127="","",IF(AND($C127&lt;&gt;"",$C127&lt;TODAY(),OR($I127="",$I127&lt;$C127)),"APPUNTAMENTO SALTATO",IF(AND($C127&lt;&gt;"",$C127-TODAY()=1),"CONFERMA DOMANI",IF(AND($C127&lt;&gt;"",$C127-TODAY()=IMPOSTAZIONI!$C$8),"CHIAMA PER CONFERMA",IF(AND($C127&lt;&gt;"",$C127&gt;=TODAY()),"",IF($E127="Sospesa","",IF($E127="Persa","RECUPERA CON INCENTIVO",IF(AND($I127&lt;&gt;"",TODAY()&gt;=EDATE($I127,IMPOSTAZIONI!$C$10)),"RECUPERA CON INCENTIVO",IF($E127="Mantenimento",IF(AND($I127&lt;&gt;"",TODAY()-$I127&gt;=IMPOSTAZIONI!$C$9),"RICHIAMO MANTENIMENTO",""),IF($E127="In ciclo",IF(N($D127)&gt;=IMPOSTAZIONI!$C$5,"ULTIMA SEDUTA",IF(AND($I127&lt;&gt;"",TODAY()-$I127&gt;IMPOSTAZIONI!$C$7),"FUORI FINESTRA","PRENDI APPUNTAMENTO")),IF($E127="Da contattare","PRENDI APPUNTAMENTO","")))))))))))</f>
        <v/>
      </c>
      <c r="T127" s="17">
        <f>IF($S127="","",IFERROR(MATCH($S127,IMPOSTAZIONI!$F$5:$F$12,0),9)*100000000+(9999-MIN(9999,ROUND(N($O127)/100,0)))*10000+ROW())</f>
        <v/>
      </c>
    </row>
    <row r="128">
      <c r="A128" s="11" t="n"/>
      <c r="B128" s="12">
        <f>IF($S128="","",IFERROR(MATCH($S128,IMPOSTAZIONI!$F$5:$F$12,0),9)&amp;" · "&amp;$S128)</f>
        <v/>
      </c>
      <c r="C128" s="13" t="n"/>
      <c r="D128" s="14" t="n"/>
      <c r="E128" s="11" t="n"/>
      <c r="F128" s="15">
        <f>IF($A128="","",IF(LEN(IF(AND($C128&lt;&gt;"",$C128=TODAY())," · oggi in centro","")&amp;IF(AND($C128&lt;&gt;"",$C128&gt;=TODAY(),N($D128)+1&gt;=IMPOSTAZIONI!$C$5)," · ultima del ciclo, proponi il mantenimento","")&amp;IF(AND($C128&lt;&gt;"",$C128&gt;=TODAY(),$I128&lt;&gt;"",$C128-$I128&lt;IMPOSTAZIONI!$C$6)," · rientro anticipato, meno di "&amp;IMPOSTAZIONI!$C$6&amp;" giorni","")&amp;IF(AND($C128&lt;&gt;"",$C128&gt;=TODAY(),$I128&lt;&gt;"",$C128-$I128&gt;IMPOSTAZIONI!$C$7)," · rientro oltre "&amp;IMPOSTAZIONI!$C$7&amp;" giorni",""))=0,"",MID(IF(AND($C128&lt;&gt;"",$C128=TODAY())," · oggi in centro","")&amp;IF(AND($C128&lt;&gt;"",$C128&gt;=TODAY(),N($D128)+1&gt;=IMPOSTAZIONI!$C$5)," · ultima del ciclo, proponi il mantenimento","")&amp;IF(AND($C128&lt;&gt;"",$C128&gt;=TODAY(),$I128&lt;&gt;"",$C128-$I128&lt;IMPOSTAZIONI!$C$6)," · rientro anticipato, meno di "&amp;IMPOSTAZIONI!$C$6&amp;" giorni","")&amp;IF(AND($C128&lt;&gt;"",$C128&gt;=TODAY(),$I128&lt;&gt;"",$C128-$I128&gt;IMPOSTAZIONI!$C$7)," · rientro oltre "&amp;IMPOSTAZIONI!$C$7&amp;" giorni",""),4,300)))</f>
        <v/>
      </c>
      <c r="G128" s="16" t="n"/>
      <c r="H128" s="11" t="n"/>
      <c r="I128" s="13" t="n"/>
      <c r="J128" s="17">
        <f>IF($I128="","",TODAY()-$I128)</f>
        <v/>
      </c>
      <c r="K128" s="17">
        <f>IF($C128="","",$C128-TODAY())</f>
        <v/>
      </c>
      <c r="L128" s="15">
        <f>IF($A128="","",N($D128)&amp;"/"&amp;IMPOSTAZIONI!$C$5)</f>
        <v/>
      </c>
      <c r="M128" s="15">
        <f>IF($S128="","",IF($S128="RECUPERA CON INCENTIVO",INCENTIVI!$C$7,IF($S128="RICHIAMO MANTENIMENTO",INCENTIVI!$C$6,IF(OR($S128="FUORI FINESTRA",$S128="ULTIMA SEDUTA"),INCENTIVI!$C$5,""))))</f>
        <v/>
      </c>
      <c r="N128" s="18" t="n"/>
      <c r="O128" s="19">
        <f>IF($A128="","",N($D128)*N($N128))</f>
        <v/>
      </c>
      <c r="P128" s="19">
        <f>IF($A128="","",MAX(0,(IMPOSTAZIONI!$C$5-N($D128))*N($N128)))</f>
        <v/>
      </c>
      <c r="Q128" s="13" t="n"/>
      <c r="R128" s="11" t="n"/>
      <c r="S128" s="15">
        <f>IF($A128="","",IF(AND($C128&lt;&gt;"",$C128&lt;TODAY(),OR($I128="",$I128&lt;$C128)),"APPUNTAMENTO SALTATO",IF(AND($C128&lt;&gt;"",$C128-TODAY()=1),"CONFERMA DOMANI",IF(AND($C128&lt;&gt;"",$C128-TODAY()=IMPOSTAZIONI!$C$8),"CHIAMA PER CONFERMA",IF(AND($C128&lt;&gt;"",$C128&gt;=TODAY()),"",IF($E128="Sospesa","",IF($E128="Persa","RECUPERA CON INCENTIVO",IF(AND($I128&lt;&gt;"",TODAY()&gt;=EDATE($I128,IMPOSTAZIONI!$C$10)),"RECUPERA CON INCENTIVO",IF($E128="Mantenimento",IF(AND($I128&lt;&gt;"",TODAY()-$I128&gt;=IMPOSTAZIONI!$C$9),"RICHIAMO MANTENIMENTO",""),IF($E128="In ciclo",IF(N($D128)&gt;=IMPOSTAZIONI!$C$5,"ULTIMA SEDUTA",IF(AND($I128&lt;&gt;"",TODAY()-$I128&gt;IMPOSTAZIONI!$C$7),"FUORI FINESTRA","PRENDI APPUNTAMENTO")),IF($E128="Da contattare","PRENDI APPUNTAMENTO","")))))))))))</f>
        <v/>
      </c>
      <c r="T128" s="17">
        <f>IF($S128="","",IFERROR(MATCH($S128,IMPOSTAZIONI!$F$5:$F$12,0),9)*100000000+(9999-MIN(9999,ROUND(N($O128)/100,0)))*10000+ROW())</f>
        <v/>
      </c>
    </row>
    <row r="129">
      <c r="A129" s="11" t="n"/>
      <c r="B129" s="12">
        <f>IF($S129="","",IFERROR(MATCH($S129,IMPOSTAZIONI!$F$5:$F$12,0),9)&amp;" · "&amp;$S129)</f>
        <v/>
      </c>
      <c r="C129" s="13" t="n"/>
      <c r="D129" s="14" t="n"/>
      <c r="E129" s="11" t="n"/>
      <c r="F129" s="15">
        <f>IF($A129="","",IF(LEN(IF(AND($C129&lt;&gt;"",$C129=TODAY())," · oggi in centro","")&amp;IF(AND($C129&lt;&gt;"",$C129&gt;=TODAY(),N($D129)+1&gt;=IMPOSTAZIONI!$C$5)," · ultima del ciclo, proponi il mantenimento","")&amp;IF(AND($C129&lt;&gt;"",$C129&gt;=TODAY(),$I129&lt;&gt;"",$C129-$I129&lt;IMPOSTAZIONI!$C$6)," · rientro anticipato, meno di "&amp;IMPOSTAZIONI!$C$6&amp;" giorni","")&amp;IF(AND($C129&lt;&gt;"",$C129&gt;=TODAY(),$I129&lt;&gt;"",$C129-$I129&gt;IMPOSTAZIONI!$C$7)," · rientro oltre "&amp;IMPOSTAZIONI!$C$7&amp;" giorni",""))=0,"",MID(IF(AND($C129&lt;&gt;"",$C129=TODAY())," · oggi in centro","")&amp;IF(AND($C129&lt;&gt;"",$C129&gt;=TODAY(),N($D129)+1&gt;=IMPOSTAZIONI!$C$5)," · ultima del ciclo, proponi il mantenimento","")&amp;IF(AND($C129&lt;&gt;"",$C129&gt;=TODAY(),$I129&lt;&gt;"",$C129-$I129&lt;IMPOSTAZIONI!$C$6)," · rientro anticipato, meno di "&amp;IMPOSTAZIONI!$C$6&amp;" giorni","")&amp;IF(AND($C129&lt;&gt;"",$C129&gt;=TODAY(),$I129&lt;&gt;"",$C129-$I129&gt;IMPOSTAZIONI!$C$7)," · rientro oltre "&amp;IMPOSTAZIONI!$C$7&amp;" giorni",""),4,300)))</f>
        <v/>
      </c>
      <c r="G129" s="16" t="n"/>
      <c r="H129" s="11" t="n"/>
      <c r="I129" s="13" t="n"/>
      <c r="J129" s="17">
        <f>IF($I129="","",TODAY()-$I129)</f>
        <v/>
      </c>
      <c r="K129" s="17">
        <f>IF($C129="","",$C129-TODAY())</f>
        <v/>
      </c>
      <c r="L129" s="15">
        <f>IF($A129="","",N($D129)&amp;"/"&amp;IMPOSTAZIONI!$C$5)</f>
        <v/>
      </c>
      <c r="M129" s="15">
        <f>IF($S129="","",IF($S129="RECUPERA CON INCENTIVO",INCENTIVI!$C$7,IF($S129="RICHIAMO MANTENIMENTO",INCENTIVI!$C$6,IF(OR($S129="FUORI FINESTRA",$S129="ULTIMA SEDUTA"),INCENTIVI!$C$5,""))))</f>
        <v/>
      </c>
      <c r="N129" s="18" t="n"/>
      <c r="O129" s="19">
        <f>IF($A129="","",N($D129)*N($N129))</f>
        <v/>
      </c>
      <c r="P129" s="19">
        <f>IF($A129="","",MAX(0,(IMPOSTAZIONI!$C$5-N($D129))*N($N129)))</f>
        <v/>
      </c>
      <c r="Q129" s="13" t="n"/>
      <c r="R129" s="11" t="n"/>
      <c r="S129" s="15">
        <f>IF($A129="","",IF(AND($C129&lt;&gt;"",$C129&lt;TODAY(),OR($I129="",$I129&lt;$C129)),"APPUNTAMENTO SALTATO",IF(AND($C129&lt;&gt;"",$C129-TODAY()=1),"CONFERMA DOMANI",IF(AND($C129&lt;&gt;"",$C129-TODAY()=IMPOSTAZIONI!$C$8),"CHIAMA PER CONFERMA",IF(AND($C129&lt;&gt;"",$C129&gt;=TODAY()),"",IF($E129="Sospesa","",IF($E129="Persa","RECUPERA CON INCENTIVO",IF(AND($I129&lt;&gt;"",TODAY()&gt;=EDATE($I129,IMPOSTAZIONI!$C$10)),"RECUPERA CON INCENTIVO",IF($E129="Mantenimento",IF(AND($I129&lt;&gt;"",TODAY()-$I129&gt;=IMPOSTAZIONI!$C$9),"RICHIAMO MANTENIMENTO",""),IF($E129="In ciclo",IF(N($D129)&gt;=IMPOSTAZIONI!$C$5,"ULTIMA SEDUTA",IF(AND($I129&lt;&gt;"",TODAY()-$I129&gt;IMPOSTAZIONI!$C$7),"FUORI FINESTRA","PRENDI APPUNTAMENTO")),IF($E129="Da contattare","PRENDI APPUNTAMENTO","")))))))))))</f>
        <v/>
      </c>
      <c r="T129" s="17">
        <f>IF($S129="","",IFERROR(MATCH($S129,IMPOSTAZIONI!$F$5:$F$12,0),9)*100000000+(9999-MIN(9999,ROUND(N($O129)/100,0)))*10000+ROW())</f>
        <v/>
      </c>
    </row>
    <row r="130">
      <c r="A130" s="11" t="n"/>
      <c r="B130" s="12">
        <f>IF($S130="","",IFERROR(MATCH($S130,IMPOSTAZIONI!$F$5:$F$12,0),9)&amp;" · "&amp;$S130)</f>
        <v/>
      </c>
      <c r="C130" s="13" t="n"/>
      <c r="D130" s="14" t="n"/>
      <c r="E130" s="11" t="n"/>
      <c r="F130" s="15">
        <f>IF($A130="","",IF(LEN(IF(AND($C130&lt;&gt;"",$C130=TODAY())," · oggi in centro","")&amp;IF(AND($C130&lt;&gt;"",$C130&gt;=TODAY(),N($D130)+1&gt;=IMPOSTAZIONI!$C$5)," · ultima del ciclo, proponi il mantenimento","")&amp;IF(AND($C130&lt;&gt;"",$C130&gt;=TODAY(),$I130&lt;&gt;"",$C130-$I130&lt;IMPOSTAZIONI!$C$6)," · rientro anticipato, meno di "&amp;IMPOSTAZIONI!$C$6&amp;" giorni","")&amp;IF(AND($C130&lt;&gt;"",$C130&gt;=TODAY(),$I130&lt;&gt;"",$C130-$I130&gt;IMPOSTAZIONI!$C$7)," · rientro oltre "&amp;IMPOSTAZIONI!$C$7&amp;" giorni",""))=0,"",MID(IF(AND($C130&lt;&gt;"",$C130=TODAY())," · oggi in centro","")&amp;IF(AND($C130&lt;&gt;"",$C130&gt;=TODAY(),N($D130)+1&gt;=IMPOSTAZIONI!$C$5)," · ultima del ciclo, proponi il mantenimento","")&amp;IF(AND($C130&lt;&gt;"",$C130&gt;=TODAY(),$I130&lt;&gt;"",$C130-$I130&lt;IMPOSTAZIONI!$C$6)," · rientro anticipato, meno di "&amp;IMPOSTAZIONI!$C$6&amp;" giorni","")&amp;IF(AND($C130&lt;&gt;"",$C130&gt;=TODAY(),$I130&lt;&gt;"",$C130-$I130&gt;IMPOSTAZIONI!$C$7)," · rientro oltre "&amp;IMPOSTAZIONI!$C$7&amp;" giorni",""),4,300)))</f>
        <v/>
      </c>
      <c r="G130" s="16" t="n"/>
      <c r="H130" s="11" t="n"/>
      <c r="I130" s="13" t="n"/>
      <c r="J130" s="17">
        <f>IF($I130="","",TODAY()-$I130)</f>
        <v/>
      </c>
      <c r="K130" s="17">
        <f>IF($C130="","",$C130-TODAY())</f>
        <v/>
      </c>
      <c r="L130" s="15">
        <f>IF($A130="","",N($D130)&amp;"/"&amp;IMPOSTAZIONI!$C$5)</f>
        <v/>
      </c>
      <c r="M130" s="15">
        <f>IF($S130="","",IF($S130="RECUPERA CON INCENTIVO",INCENTIVI!$C$7,IF($S130="RICHIAMO MANTENIMENTO",INCENTIVI!$C$6,IF(OR($S130="FUORI FINESTRA",$S130="ULTIMA SEDUTA"),INCENTIVI!$C$5,""))))</f>
        <v/>
      </c>
      <c r="N130" s="18" t="n"/>
      <c r="O130" s="19">
        <f>IF($A130="","",N($D130)*N($N130))</f>
        <v/>
      </c>
      <c r="P130" s="19">
        <f>IF($A130="","",MAX(0,(IMPOSTAZIONI!$C$5-N($D130))*N($N130)))</f>
        <v/>
      </c>
      <c r="Q130" s="13" t="n"/>
      <c r="R130" s="11" t="n"/>
      <c r="S130" s="15">
        <f>IF($A130="","",IF(AND($C130&lt;&gt;"",$C130&lt;TODAY(),OR($I130="",$I130&lt;$C130)),"APPUNTAMENTO SALTATO",IF(AND($C130&lt;&gt;"",$C130-TODAY()=1),"CONFERMA DOMANI",IF(AND($C130&lt;&gt;"",$C130-TODAY()=IMPOSTAZIONI!$C$8),"CHIAMA PER CONFERMA",IF(AND($C130&lt;&gt;"",$C130&gt;=TODAY()),"",IF($E130="Sospesa","",IF($E130="Persa","RECUPERA CON INCENTIVO",IF(AND($I130&lt;&gt;"",TODAY()&gt;=EDATE($I130,IMPOSTAZIONI!$C$10)),"RECUPERA CON INCENTIVO",IF($E130="Mantenimento",IF(AND($I130&lt;&gt;"",TODAY()-$I130&gt;=IMPOSTAZIONI!$C$9),"RICHIAMO MANTENIMENTO",""),IF($E130="In ciclo",IF(N($D130)&gt;=IMPOSTAZIONI!$C$5,"ULTIMA SEDUTA",IF(AND($I130&lt;&gt;"",TODAY()-$I130&gt;IMPOSTAZIONI!$C$7),"FUORI FINESTRA","PRENDI APPUNTAMENTO")),IF($E130="Da contattare","PRENDI APPUNTAMENTO","")))))))))))</f>
        <v/>
      </c>
      <c r="T130" s="17">
        <f>IF($S130="","",IFERROR(MATCH($S130,IMPOSTAZIONI!$F$5:$F$12,0),9)*100000000+(9999-MIN(9999,ROUND(N($O130)/100,0)))*10000+ROW())</f>
        <v/>
      </c>
    </row>
    <row r="131">
      <c r="A131" s="11" t="n"/>
      <c r="B131" s="12">
        <f>IF($S131="","",IFERROR(MATCH($S131,IMPOSTAZIONI!$F$5:$F$12,0),9)&amp;" · "&amp;$S131)</f>
        <v/>
      </c>
      <c r="C131" s="13" t="n"/>
      <c r="D131" s="14" t="n"/>
      <c r="E131" s="11" t="n"/>
      <c r="F131" s="15">
        <f>IF($A131="","",IF(LEN(IF(AND($C131&lt;&gt;"",$C131=TODAY())," · oggi in centro","")&amp;IF(AND($C131&lt;&gt;"",$C131&gt;=TODAY(),N($D131)+1&gt;=IMPOSTAZIONI!$C$5)," · ultima del ciclo, proponi il mantenimento","")&amp;IF(AND($C131&lt;&gt;"",$C131&gt;=TODAY(),$I131&lt;&gt;"",$C131-$I131&lt;IMPOSTAZIONI!$C$6)," · rientro anticipato, meno di "&amp;IMPOSTAZIONI!$C$6&amp;" giorni","")&amp;IF(AND($C131&lt;&gt;"",$C131&gt;=TODAY(),$I131&lt;&gt;"",$C131-$I131&gt;IMPOSTAZIONI!$C$7)," · rientro oltre "&amp;IMPOSTAZIONI!$C$7&amp;" giorni",""))=0,"",MID(IF(AND($C131&lt;&gt;"",$C131=TODAY())," · oggi in centro","")&amp;IF(AND($C131&lt;&gt;"",$C131&gt;=TODAY(),N($D131)+1&gt;=IMPOSTAZIONI!$C$5)," · ultima del ciclo, proponi il mantenimento","")&amp;IF(AND($C131&lt;&gt;"",$C131&gt;=TODAY(),$I131&lt;&gt;"",$C131-$I131&lt;IMPOSTAZIONI!$C$6)," · rientro anticipato, meno di "&amp;IMPOSTAZIONI!$C$6&amp;" giorni","")&amp;IF(AND($C131&lt;&gt;"",$C131&gt;=TODAY(),$I131&lt;&gt;"",$C131-$I131&gt;IMPOSTAZIONI!$C$7)," · rientro oltre "&amp;IMPOSTAZIONI!$C$7&amp;" giorni",""),4,300)))</f>
        <v/>
      </c>
      <c r="G131" s="16" t="n"/>
      <c r="H131" s="11" t="n"/>
      <c r="I131" s="13" t="n"/>
      <c r="J131" s="17">
        <f>IF($I131="","",TODAY()-$I131)</f>
        <v/>
      </c>
      <c r="K131" s="17">
        <f>IF($C131="","",$C131-TODAY())</f>
        <v/>
      </c>
      <c r="L131" s="15">
        <f>IF($A131="","",N($D131)&amp;"/"&amp;IMPOSTAZIONI!$C$5)</f>
        <v/>
      </c>
      <c r="M131" s="15">
        <f>IF($S131="","",IF($S131="RECUPERA CON INCENTIVO",INCENTIVI!$C$7,IF($S131="RICHIAMO MANTENIMENTO",INCENTIVI!$C$6,IF(OR($S131="FUORI FINESTRA",$S131="ULTIMA SEDUTA"),INCENTIVI!$C$5,""))))</f>
        <v/>
      </c>
      <c r="N131" s="18" t="n"/>
      <c r="O131" s="19">
        <f>IF($A131="","",N($D131)*N($N131))</f>
        <v/>
      </c>
      <c r="P131" s="19">
        <f>IF($A131="","",MAX(0,(IMPOSTAZIONI!$C$5-N($D131))*N($N131)))</f>
        <v/>
      </c>
      <c r="Q131" s="13" t="n"/>
      <c r="R131" s="11" t="n"/>
      <c r="S131" s="15">
        <f>IF($A131="","",IF(AND($C131&lt;&gt;"",$C131&lt;TODAY(),OR($I131="",$I131&lt;$C131)),"APPUNTAMENTO SALTATO",IF(AND($C131&lt;&gt;"",$C131-TODAY()=1),"CONFERMA DOMANI",IF(AND($C131&lt;&gt;"",$C131-TODAY()=IMPOSTAZIONI!$C$8),"CHIAMA PER CONFERMA",IF(AND($C131&lt;&gt;"",$C131&gt;=TODAY()),"",IF($E131="Sospesa","",IF($E131="Persa","RECUPERA CON INCENTIVO",IF(AND($I131&lt;&gt;"",TODAY()&gt;=EDATE($I131,IMPOSTAZIONI!$C$10)),"RECUPERA CON INCENTIVO",IF($E131="Mantenimento",IF(AND($I131&lt;&gt;"",TODAY()-$I131&gt;=IMPOSTAZIONI!$C$9),"RICHIAMO MANTENIMENTO",""),IF($E131="In ciclo",IF(N($D131)&gt;=IMPOSTAZIONI!$C$5,"ULTIMA SEDUTA",IF(AND($I131&lt;&gt;"",TODAY()-$I131&gt;IMPOSTAZIONI!$C$7),"FUORI FINESTRA","PRENDI APPUNTAMENTO")),IF($E131="Da contattare","PRENDI APPUNTAMENTO","")))))))))))</f>
        <v/>
      </c>
      <c r="T131" s="17">
        <f>IF($S131="","",IFERROR(MATCH($S131,IMPOSTAZIONI!$F$5:$F$12,0),9)*100000000+(9999-MIN(9999,ROUND(N($O131)/100,0)))*10000+ROW())</f>
        <v/>
      </c>
    </row>
    <row r="132">
      <c r="A132" s="11" t="n"/>
      <c r="B132" s="12">
        <f>IF($S132="","",IFERROR(MATCH($S132,IMPOSTAZIONI!$F$5:$F$12,0),9)&amp;" · "&amp;$S132)</f>
        <v/>
      </c>
      <c r="C132" s="13" t="n"/>
      <c r="D132" s="14" t="n"/>
      <c r="E132" s="11" t="n"/>
      <c r="F132" s="15">
        <f>IF($A132="","",IF(LEN(IF(AND($C132&lt;&gt;"",$C132=TODAY())," · oggi in centro","")&amp;IF(AND($C132&lt;&gt;"",$C132&gt;=TODAY(),N($D132)+1&gt;=IMPOSTAZIONI!$C$5)," · ultima del ciclo, proponi il mantenimento","")&amp;IF(AND($C132&lt;&gt;"",$C132&gt;=TODAY(),$I132&lt;&gt;"",$C132-$I132&lt;IMPOSTAZIONI!$C$6)," · rientro anticipato, meno di "&amp;IMPOSTAZIONI!$C$6&amp;" giorni","")&amp;IF(AND($C132&lt;&gt;"",$C132&gt;=TODAY(),$I132&lt;&gt;"",$C132-$I132&gt;IMPOSTAZIONI!$C$7)," · rientro oltre "&amp;IMPOSTAZIONI!$C$7&amp;" giorni",""))=0,"",MID(IF(AND($C132&lt;&gt;"",$C132=TODAY())," · oggi in centro","")&amp;IF(AND($C132&lt;&gt;"",$C132&gt;=TODAY(),N($D132)+1&gt;=IMPOSTAZIONI!$C$5)," · ultima del ciclo, proponi il mantenimento","")&amp;IF(AND($C132&lt;&gt;"",$C132&gt;=TODAY(),$I132&lt;&gt;"",$C132-$I132&lt;IMPOSTAZIONI!$C$6)," · rientro anticipato, meno di "&amp;IMPOSTAZIONI!$C$6&amp;" giorni","")&amp;IF(AND($C132&lt;&gt;"",$C132&gt;=TODAY(),$I132&lt;&gt;"",$C132-$I132&gt;IMPOSTAZIONI!$C$7)," · rientro oltre "&amp;IMPOSTAZIONI!$C$7&amp;" giorni",""),4,300)))</f>
        <v/>
      </c>
      <c r="G132" s="16" t="n"/>
      <c r="H132" s="11" t="n"/>
      <c r="I132" s="13" t="n"/>
      <c r="J132" s="17">
        <f>IF($I132="","",TODAY()-$I132)</f>
        <v/>
      </c>
      <c r="K132" s="17">
        <f>IF($C132="","",$C132-TODAY())</f>
        <v/>
      </c>
      <c r="L132" s="15">
        <f>IF($A132="","",N($D132)&amp;"/"&amp;IMPOSTAZIONI!$C$5)</f>
        <v/>
      </c>
      <c r="M132" s="15">
        <f>IF($S132="","",IF($S132="RECUPERA CON INCENTIVO",INCENTIVI!$C$7,IF($S132="RICHIAMO MANTENIMENTO",INCENTIVI!$C$6,IF(OR($S132="FUORI FINESTRA",$S132="ULTIMA SEDUTA"),INCENTIVI!$C$5,""))))</f>
        <v/>
      </c>
      <c r="N132" s="18" t="n"/>
      <c r="O132" s="19">
        <f>IF($A132="","",N($D132)*N($N132))</f>
        <v/>
      </c>
      <c r="P132" s="19">
        <f>IF($A132="","",MAX(0,(IMPOSTAZIONI!$C$5-N($D132))*N($N132)))</f>
        <v/>
      </c>
      <c r="Q132" s="13" t="n"/>
      <c r="R132" s="11" t="n"/>
      <c r="S132" s="15">
        <f>IF($A132="","",IF(AND($C132&lt;&gt;"",$C132&lt;TODAY(),OR($I132="",$I132&lt;$C132)),"APPUNTAMENTO SALTATO",IF(AND($C132&lt;&gt;"",$C132-TODAY()=1),"CONFERMA DOMANI",IF(AND($C132&lt;&gt;"",$C132-TODAY()=IMPOSTAZIONI!$C$8),"CHIAMA PER CONFERMA",IF(AND($C132&lt;&gt;"",$C132&gt;=TODAY()),"",IF($E132="Sospesa","",IF($E132="Persa","RECUPERA CON INCENTIVO",IF(AND($I132&lt;&gt;"",TODAY()&gt;=EDATE($I132,IMPOSTAZIONI!$C$10)),"RECUPERA CON INCENTIVO",IF($E132="Mantenimento",IF(AND($I132&lt;&gt;"",TODAY()-$I132&gt;=IMPOSTAZIONI!$C$9),"RICHIAMO MANTENIMENTO",""),IF($E132="In ciclo",IF(N($D132)&gt;=IMPOSTAZIONI!$C$5,"ULTIMA SEDUTA",IF(AND($I132&lt;&gt;"",TODAY()-$I132&gt;IMPOSTAZIONI!$C$7),"FUORI FINESTRA","PRENDI APPUNTAMENTO")),IF($E132="Da contattare","PRENDI APPUNTAMENTO","")))))))))))</f>
        <v/>
      </c>
      <c r="T132" s="17">
        <f>IF($S132="","",IFERROR(MATCH($S132,IMPOSTAZIONI!$F$5:$F$12,0),9)*100000000+(9999-MIN(9999,ROUND(N($O132)/100,0)))*10000+ROW())</f>
        <v/>
      </c>
    </row>
    <row r="133">
      <c r="A133" s="11" t="n"/>
      <c r="B133" s="12">
        <f>IF($S133="","",IFERROR(MATCH($S133,IMPOSTAZIONI!$F$5:$F$12,0),9)&amp;" · "&amp;$S133)</f>
        <v/>
      </c>
      <c r="C133" s="13" t="n"/>
      <c r="D133" s="14" t="n"/>
      <c r="E133" s="11" t="n"/>
      <c r="F133" s="15">
        <f>IF($A133="","",IF(LEN(IF(AND($C133&lt;&gt;"",$C133=TODAY())," · oggi in centro","")&amp;IF(AND($C133&lt;&gt;"",$C133&gt;=TODAY(),N($D133)+1&gt;=IMPOSTAZIONI!$C$5)," · ultima del ciclo, proponi il mantenimento","")&amp;IF(AND($C133&lt;&gt;"",$C133&gt;=TODAY(),$I133&lt;&gt;"",$C133-$I133&lt;IMPOSTAZIONI!$C$6)," · rientro anticipato, meno di "&amp;IMPOSTAZIONI!$C$6&amp;" giorni","")&amp;IF(AND($C133&lt;&gt;"",$C133&gt;=TODAY(),$I133&lt;&gt;"",$C133-$I133&gt;IMPOSTAZIONI!$C$7)," · rientro oltre "&amp;IMPOSTAZIONI!$C$7&amp;" giorni",""))=0,"",MID(IF(AND($C133&lt;&gt;"",$C133=TODAY())," · oggi in centro","")&amp;IF(AND($C133&lt;&gt;"",$C133&gt;=TODAY(),N($D133)+1&gt;=IMPOSTAZIONI!$C$5)," · ultima del ciclo, proponi il mantenimento","")&amp;IF(AND($C133&lt;&gt;"",$C133&gt;=TODAY(),$I133&lt;&gt;"",$C133-$I133&lt;IMPOSTAZIONI!$C$6)," · rientro anticipato, meno di "&amp;IMPOSTAZIONI!$C$6&amp;" giorni","")&amp;IF(AND($C133&lt;&gt;"",$C133&gt;=TODAY(),$I133&lt;&gt;"",$C133-$I133&gt;IMPOSTAZIONI!$C$7)," · rientro oltre "&amp;IMPOSTAZIONI!$C$7&amp;" giorni",""),4,300)))</f>
        <v/>
      </c>
      <c r="G133" s="16" t="n"/>
      <c r="H133" s="11" t="n"/>
      <c r="I133" s="13" t="n"/>
      <c r="J133" s="17">
        <f>IF($I133="","",TODAY()-$I133)</f>
        <v/>
      </c>
      <c r="K133" s="17">
        <f>IF($C133="","",$C133-TODAY())</f>
        <v/>
      </c>
      <c r="L133" s="15">
        <f>IF($A133="","",N($D133)&amp;"/"&amp;IMPOSTAZIONI!$C$5)</f>
        <v/>
      </c>
      <c r="M133" s="15">
        <f>IF($S133="","",IF($S133="RECUPERA CON INCENTIVO",INCENTIVI!$C$7,IF($S133="RICHIAMO MANTENIMENTO",INCENTIVI!$C$6,IF(OR($S133="FUORI FINESTRA",$S133="ULTIMA SEDUTA"),INCENTIVI!$C$5,""))))</f>
        <v/>
      </c>
      <c r="N133" s="18" t="n"/>
      <c r="O133" s="19">
        <f>IF($A133="","",N($D133)*N($N133))</f>
        <v/>
      </c>
      <c r="P133" s="19">
        <f>IF($A133="","",MAX(0,(IMPOSTAZIONI!$C$5-N($D133))*N($N133)))</f>
        <v/>
      </c>
      <c r="Q133" s="13" t="n"/>
      <c r="R133" s="11" t="n"/>
      <c r="S133" s="15">
        <f>IF($A133="","",IF(AND($C133&lt;&gt;"",$C133&lt;TODAY(),OR($I133="",$I133&lt;$C133)),"APPUNTAMENTO SALTATO",IF(AND($C133&lt;&gt;"",$C133-TODAY()=1),"CONFERMA DOMANI",IF(AND($C133&lt;&gt;"",$C133-TODAY()=IMPOSTAZIONI!$C$8),"CHIAMA PER CONFERMA",IF(AND($C133&lt;&gt;"",$C133&gt;=TODAY()),"",IF($E133="Sospesa","",IF($E133="Persa","RECUPERA CON INCENTIVO",IF(AND($I133&lt;&gt;"",TODAY()&gt;=EDATE($I133,IMPOSTAZIONI!$C$10)),"RECUPERA CON INCENTIVO",IF($E133="Mantenimento",IF(AND($I133&lt;&gt;"",TODAY()-$I133&gt;=IMPOSTAZIONI!$C$9),"RICHIAMO MANTENIMENTO",""),IF($E133="In ciclo",IF(N($D133)&gt;=IMPOSTAZIONI!$C$5,"ULTIMA SEDUTA",IF(AND($I133&lt;&gt;"",TODAY()-$I133&gt;IMPOSTAZIONI!$C$7),"FUORI FINESTRA","PRENDI APPUNTAMENTO")),IF($E133="Da contattare","PRENDI APPUNTAMENTO","")))))))))))</f>
        <v/>
      </c>
      <c r="T133" s="17">
        <f>IF($S133="","",IFERROR(MATCH($S133,IMPOSTAZIONI!$F$5:$F$12,0),9)*100000000+(9999-MIN(9999,ROUND(N($O133)/100,0)))*10000+ROW())</f>
        <v/>
      </c>
    </row>
    <row r="134">
      <c r="A134" s="11" t="n"/>
      <c r="B134" s="12">
        <f>IF($S134="","",IFERROR(MATCH($S134,IMPOSTAZIONI!$F$5:$F$12,0),9)&amp;" · "&amp;$S134)</f>
        <v/>
      </c>
      <c r="C134" s="13" t="n"/>
      <c r="D134" s="14" t="n"/>
      <c r="E134" s="11" t="n"/>
      <c r="F134" s="15">
        <f>IF($A134="","",IF(LEN(IF(AND($C134&lt;&gt;"",$C134=TODAY())," · oggi in centro","")&amp;IF(AND($C134&lt;&gt;"",$C134&gt;=TODAY(),N($D134)+1&gt;=IMPOSTAZIONI!$C$5)," · ultima del ciclo, proponi il mantenimento","")&amp;IF(AND($C134&lt;&gt;"",$C134&gt;=TODAY(),$I134&lt;&gt;"",$C134-$I134&lt;IMPOSTAZIONI!$C$6)," · rientro anticipato, meno di "&amp;IMPOSTAZIONI!$C$6&amp;" giorni","")&amp;IF(AND($C134&lt;&gt;"",$C134&gt;=TODAY(),$I134&lt;&gt;"",$C134-$I134&gt;IMPOSTAZIONI!$C$7)," · rientro oltre "&amp;IMPOSTAZIONI!$C$7&amp;" giorni",""))=0,"",MID(IF(AND($C134&lt;&gt;"",$C134=TODAY())," · oggi in centro","")&amp;IF(AND($C134&lt;&gt;"",$C134&gt;=TODAY(),N($D134)+1&gt;=IMPOSTAZIONI!$C$5)," · ultima del ciclo, proponi il mantenimento","")&amp;IF(AND($C134&lt;&gt;"",$C134&gt;=TODAY(),$I134&lt;&gt;"",$C134-$I134&lt;IMPOSTAZIONI!$C$6)," · rientro anticipato, meno di "&amp;IMPOSTAZIONI!$C$6&amp;" giorni","")&amp;IF(AND($C134&lt;&gt;"",$C134&gt;=TODAY(),$I134&lt;&gt;"",$C134-$I134&gt;IMPOSTAZIONI!$C$7)," · rientro oltre "&amp;IMPOSTAZIONI!$C$7&amp;" giorni",""),4,300)))</f>
        <v/>
      </c>
      <c r="G134" s="16" t="n"/>
      <c r="H134" s="11" t="n"/>
      <c r="I134" s="13" t="n"/>
      <c r="J134" s="17">
        <f>IF($I134="","",TODAY()-$I134)</f>
        <v/>
      </c>
      <c r="K134" s="17">
        <f>IF($C134="","",$C134-TODAY())</f>
        <v/>
      </c>
      <c r="L134" s="15">
        <f>IF($A134="","",N($D134)&amp;"/"&amp;IMPOSTAZIONI!$C$5)</f>
        <v/>
      </c>
      <c r="M134" s="15">
        <f>IF($S134="","",IF($S134="RECUPERA CON INCENTIVO",INCENTIVI!$C$7,IF($S134="RICHIAMO MANTENIMENTO",INCENTIVI!$C$6,IF(OR($S134="FUORI FINESTRA",$S134="ULTIMA SEDUTA"),INCENTIVI!$C$5,""))))</f>
        <v/>
      </c>
      <c r="N134" s="18" t="n"/>
      <c r="O134" s="19">
        <f>IF($A134="","",N($D134)*N($N134))</f>
        <v/>
      </c>
      <c r="P134" s="19">
        <f>IF($A134="","",MAX(0,(IMPOSTAZIONI!$C$5-N($D134))*N($N134)))</f>
        <v/>
      </c>
      <c r="Q134" s="13" t="n"/>
      <c r="R134" s="11" t="n"/>
      <c r="S134" s="15">
        <f>IF($A134="","",IF(AND($C134&lt;&gt;"",$C134&lt;TODAY(),OR($I134="",$I134&lt;$C134)),"APPUNTAMENTO SALTATO",IF(AND($C134&lt;&gt;"",$C134-TODAY()=1),"CONFERMA DOMANI",IF(AND($C134&lt;&gt;"",$C134-TODAY()=IMPOSTAZIONI!$C$8),"CHIAMA PER CONFERMA",IF(AND($C134&lt;&gt;"",$C134&gt;=TODAY()),"",IF($E134="Sospesa","",IF($E134="Persa","RECUPERA CON INCENTIVO",IF(AND($I134&lt;&gt;"",TODAY()&gt;=EDATE($I134,IMPOSTAZIONI!$C$10)),"RECUPERA CON INCENTIVO",IF($E134="Mantenimento",IF(AND($I134&lt;&gt;"",TODAY()-$I134&gt;=IMPOSTAZIONI!$C$9),"RICHIAMO MANTENIMENTO",""),IF($E134="In ciclo",IF(N($D134)&gt;=IMPOSTAZIONI!$C$5,"ULTIMA SEDUTA",IF(AND($I134&lt;&gt;"",TODAY()-$I134&gt;IMPOSTAZIONI!$C$7),"FUORI FINESTRA","PRENDI APPUNTAMENTO")),IF($E134="Da contattare","PRENDI APPUNTAMENTO","")))))))))))</f>
        <v/>
      </c>
      <c r="T134" s="17">
        <f>IF($S134="","",IFERROR(MATCH($S134,IMPOSTAZIONI!$F$5:$F$12,0),9)*100000000+(9999-MIN(9999,ROUND(N($O134)/100,0)))*10000+ROW())</f>
        <v/>
      </c>
    </row>
    <row r="135">
      <c r="A135" s="11" t="n"/>
      <c r="B135" s="12">
        <f>IF($S135="","",IFERROR(MATCH($S135,IMPOSTAZIONI!$F$5:$F$12,0),9)&amp;" · "&amp;$S135)</f>
        <v/>
      </c>
      <c r="C135" s="13" t="n"/>
      <c r="D135" s="14" t="n"/>
      <c r="E135" s="11" t="n"/>
      <c r="F135" s="15">
        <f>IF($A135="","",IF(LEN(IF(AND($C135&lt;&gt;"",$C135=TODAY())," · oggi in centro","")&amp;IF(AND($C135&lt;&gt;"",$C135&gt;=TODAY(),N($D135)+1&gt;=IMPOSTAZIONI!$C$5)," · ultima del ciclo, proponi il mantenimento","")&amp;IF(AND($C135&lt;&gt;"",$C135&gt;=TODAY(),$I135&lt;&gt;"",$C135-$I135&lt;IMPOSTAZIONI!$C$6)," · rientro anticipato, meno di "&amp;IMPOSTAZIONI!$C$6&amp;" giorni","")&amp;IF(AND($C135&lt;&gt;"",$C135&gt;=TODAY(),$I135&lt;&gt;"",$C135-$I135&gt;IMPOSTAZIONI!$C$7)," · rientro oltre "&amp;IMPOSTAZIONI!$C$7&amp;" giorni",""))=0,"",MID(IF(AND($C135&lt;&gt;"",$C135=TODAY())," · oggi in centro","")&amp;IF(AND($C135&lt;&gt;"",$C135&gt;=TODAY(),N($D135)+1&gt;=IMPOSTAZIONI!$C$5)," · ultima del ciclo, proponi il mantenimento","")&amp;IF(AND($C135&lt;&gt;"",$C135&gt;=TODAY(),$I135&lt;&gt;"",$C135-$I135&lt;IMPOSTAZIONI!$C$6)," · rientro anticipato, meno di "&amp;IMPOSTAZIONI!$C$6&amp;" giorni","")&amp;IF(AND($C135&lt;&gt;"",$C135&gt;=TODAY(),$I135&lt;&gt;"",$C135-$I135&gt;IMPOSTAZIONI!$C$7)," · rientro oltre "&amp;IMPOSTAZIONI!$C$7&amp;" giorni",""),4,300)))</f>
        <v/>
      </c>
      <c r="G135" s="16" t="n"/>
      <c r="H135" s="11" t="n"/>
      <c r="I135" s="13" t="n"/>
      <c r="J135" s="17">
        <f>IF($I135="","",TODAY()-$I135)</f>
        <v/>
      </c>
      <c r="K135" s="17">
        <f>IF($C135="","",$C135-TODAY())</f>
        <v/>
      </c>
      <c r="L135" s="15">
        <f>IF($A135="","",N($D135)&amp;"/"&amp;IMPOSTAZIONI!$C$5)</f>
        <v/>
      </c>
      <c r="M135" s="15">
        <f>IF($S135="","",IF($S135="RECUPERA CON INCENTIVO",INCENTIVI!$C$7,IF($S135="RICHIAMO MANTENIMENTO",INCENTIVI!$C$6,IF(OR($S135="FUORI FINESTRA",$S135="ULTIMA SEDUTA"),INCENTIVI!$C$5,""))))</f>
        <v/>
      </c>
      <c r="N135" s="18" t="n"/>
      <c r="O135" s="19">
        <f>IF($A135="","",N($D135)*N($N135))</f>
        <v/>
      </c>
      <c r="P135" s="19">
        <f>IF($A135="","",MAX(0,(IMPOSTAZIONI!$C$5-N($D135))*N($N135)))</f>
        <v/>
      </c>
      <c r="Q135" s="13" t="n"/>
      <c r="R135" s="11" t="n"/>
      <c r="S135" s="15">
        <f>IF($A135="","",IF(AND($C135&lt;&gt;"",$C135&lt;TODAY(),OR($I135="",$I135&lt;$C135)),"APPUNTAMENTO SALTATO",IF(AND($C135&lt;&gt;"",$C135-TODAY()=1),"CONFERMA DOMANI",IF(AND($C135&lt;&gt;"",$C135-TODAY()=IMPOSTAZIONI!$C$8),"CHIAMA PER CONFERMA",IF(AND($C135&lt;&gt;"",$C135&gt;=TODAY()),"",IF($E135="Sospesa","",IF($E135="Persa","RECUPERA CON INCENTIVO",IF(AND($I135&lt;&gt;"",TODAY()&gt;=EDATE($I135,IMPOSTAZIONI!$C$10)),"RECUPERA CON INCENTIVO",IF($E135="Mantenimento",IF(AND($I135&lt;&gt;"",TODAY()-$I135&gt;=IMPOSTAZIONI!$C$9),"RICHIAMO MANTENIMENTO",""),IF($E135="In ciclo",IF(N($D135)&gt;=IMPOSTAZIONI!$C$5,"ULTIMA SEDUTA",IF(AND($I135&lt;&gt;"",TODAY()-$I135&gt;IMPOSTAZIONI!$C$7),"FUORI FINESTRA","PRENDI APPUNTAMENTO")),IF($E135="Da contattare","PRENDI APPUNTAMENTO","")))))))))))</f>
        <v/>
      </c>
      <c r="T135" s="17">
        <f>IF($S135="","",IFERROR(MATCH($S135,IMPOSTAZIONI!$F$5:$F$12,0),9)*100000000+(9999-MIN(9999,ROUND(N($O135)/100,0)))*10000+ROW())</f>
        <v/>
      </c>
    </row>
    <row r="136">
      <c r="A136" s="11" t="n"/>
      <c r="B136" s="12">
        <f>IF($S136="","",IFERROR(MATCH($S136,IMPOSTAZIONI!$F$5:$F$12,0),9)&amp;" · "&amp;$S136)</f>
        <v/>
      </c>
      <c r="C136" s="13" t="n"/>
      <c r="D136" s="14" t="n"/>
      <c r="E136" s="11" t="n"/>
      <c r="F136" s="15">
        <f>IF($A136="","",IF(LEN(IF(AND($C136&lt;&gt;"",$C136=TODAY())," · oggi in centro","")&amp;IF(AND($C136&lt;&gt;"",$C136&gt;=TODAY(),N($D136)+1&gt;=IMPOSTAZIONI!$C$5)," · ultima del ciclo, proponi il mantenimento","")&amp;IF(AND($C136&lt;&gt;"",$C136&gt;=TODAY(),$I136&lt;&gt;"",$C136-$I136&lt;IMPOSTAZIONI!$C$6)," · rientro anticipato, meno di "&amp;IMPOSTAZIONI!$C$6&amp;" giorni","")&amp;IF(AND($C136&lt;&gt;"",$C136&gt;=TODAY(),$I136&lt;&gt;"",$C136-$I136&gt;IMPOSTAZIONI!$C$7)," · rientro oltre "&amp;IMPOSTAZIONI!$C$7&amp;" giorni",""))=0,"",MID(IF(AND($C136&lt;&gt;"",$C136=TODAY())," · oggi in centro","")&amp;IF(AND($C136&lt;&gt;"",$C136&gt;=TODAY(),N($D136)+1&gt;=IMPOSTAZIONI!$C$5)," · ultima del ciclo, proponi il mantenimento","")&amp;IF(AND($C136&lt;&gt;"",$C136&gt;=TODAY(),$I136&lt;&gt;"",$C136-$I136&lt;IMPOSTAZIONI!$C$6)," · rientro anticipato, meno di "&amp;IMPOSTAZIONI!$C$6&amp;" giorni","")&amp;IF(AND($C136&lt;&gt;"",$C136&gt;=TODAY(),$I136&lt;&gt;"",$C136-$I136&gt;IMPOSTAZIONI!$C$7)," · rientro oltre "&amp;IMPOSTAZIONI!$C$7&amp;" giorni",""),4,300)))</f>
        <v/>
      </c>
      <c r="G136" s="16" t="n"/>
      <c r="H136" s="11" t="n"/>
      <c r="I136" s="13" t="n"/>
      <c r="J136" s="17">
        <f>IF($I136="","",TODAY()-$I136)</f>
        <v/>
      </c>
      <c r="K136" s="17">
        <f>IF($C136="","",$C136-TODAY())</f>
        <v/>
      </c>
      <c r="L136" s="15">
        <f>IF($A136="","",N($D136)&amp;"/"&amp;IMPOSTAZIONI!$C$5)</f>
        <v/>
      </c>
      <c r="M136" s="15">
        <f>IF($S136="","",IF($S136="RECUPERA CON INCENTIVO",INCENTIVI!$C$7,IF($S136="RICHIAMO MANTENIMENTO",INCENTIVI!$C$6,IF(OR($S136="FUORI FINESTRA",$S136="ULTIMA SEDUTA"),INCENTIVI!$C$5,""))))</f>
        <v/>
      </c>
      <c r="N136" s="18" t="n"/>
      <c r="O136" s="19">
        <f>IF($A136="","",N($D136)*N($N136))</f>
        <v/>
      </c>
      <c r="P136" s="19">
        <f>IF($A136="","",MAX(0,(IMPOSTAZIONI!$C$5-N($D136))*N($N136)))</f>
        <v/>
      </c>
      <c r="Q136" s="13" t="n"/>
      <c r="R136" s="11" t="n"/>
      <c r="S136" s="15">
        <f>IF($A136="","",IF(AND($C136&lt;&gt;"",$C136&lt;TODAY(),OR($I136="",$I136&lt;$C136)),"APPUNTAMENTO SALTATO",IF(AND($C136&lt;&gt;"",$C136-TODAY()=1),"CONFERMA DOMANI",IF(AND($C136&lt;&gt;"",$C136-TODAY()=IMPOSTAZIONI!$C$8),"CHIAMA PER CONFERMA",IF(AND($C136&lt;&gt;"",$C136&gt;=TODAY()),"",IF($E136="Sospesa","",IF($E136="Persa","RECUPERA CON INCENTIVO",IF(AND($I136&lt;&gt;"",TODAY()&gt;=EDATE($I136,IMPOSTAZIONI!$C$10)),"RECUPERA CON INCENTIVO",IF($E136="Mantenimento",IF(AND($I136&lt;&gt;"",TODAY()-$I136&gt;=IMPOSTAZIONI!$C$9),"RICHIAMO MANTENIMENTO",""),IF($E136="In ciclo",IF(N($D136)&gt;=IMPOSTAZIONI!$C$5,"ULTIMA SEDUTA",IF(AND($I136&lt;&gt;"",TODAY()-$I136&gt;IMPOSTAZIONI!$C$7),"FUORI FINESTRA","PRENDI APPUNTAMENTO")),IF($E136="Da contattare","PRENDI APPUNTAMENTO","")))))))))))</f>
        <v/>
      </c>
      <c r="T136" s="17">
        <f>IF($S136="","",IFERROR(MATCH($S136,IMPOSTAZIONI!$F$5:$F$12,0),9)*100000000+(9999-MIN(9999,ROUND(N($O136)/100,0)))*10000+ROW())</f>
        <v/>
      </c>
    </row>
    <row r="137">
      <c r="A137" s="11" t="n"/>
      <c r="B137" s="12">
        <f>IF($S137="","",IFERROR(MATCH($S137,IMPOSTAZIONI!$F$5:$F$12,0),9)&amp;" · "&amp;$S137)</f>
        <v/>
      </c>
      <c r="C137" s="13" t="n"/>
      <c r="D137" s="14" t="n"/>
      <c r="E137" s="11" t="n"/>
      <c r="F137" s="15">
        <f>IF($A137="","",IF(LEN(IF(AND($C137&lt;&gt;"",$C137=TODAY())," · oggi in centro","")&amp;IF(AND($C137&lt;&gt;"",$C137&gt;=TODAY(),N($D137)+1&gt;=IMPOSTAZIONI!$C$5)," · ultima del ciclo, proponi il mantenimento","")&amp;IF(AND($C137&lt;&gt;"",$C137&gt;=TODAY(),$I137&lt;&gt;"",$C137-$I137&lt;IMPOSTAZIONI!$C$6)," · rientro anticipato, meno di "&amp;IMPOSTAZIONI!$C$6&amp;" giorni","")&amp;IF(AND($C137&lt;&gt;"",$C137&gt;=TODAY(),$I137&lt;&gt;"",$C137-$I137&gt;IMPOSTAZIONI!$C$7)," · rientro oltre "&amp;IMPOSTAZIONI!$C$7&amp;" giorni",""))=0,"",MID(IF(AND($C137&lt;&gt;"",$C137=TODAY())," · oggi in centro","")&amp;IF(AND($C137&lt;&gt;"",$C137&gt;=TODAY(),N($D137)+1&gt;=IMPOSTAZIONI!$C$5)," · ultima del ciclo, proponi il mantenimento","")&amp;IF(AND($C137&lt;&gt;"",$C137&gt;=TODAY(),$I137&lt;&gt;"",$C137-$I137&lt;IMPOSTAZIONI!$C$6)," · rientro anticipato, meno di "&amp;IMPOSTAZIONI!$C$6&amp;" giorni","")&amp;IF(AND($C137&lt;&gt;"",$C137&gt;=TODAY(),$I137&lt;&gt;"",$C137-$I137&gt;IMPOSTAZIONI!$C$7)," · rientro oltre "&amp;IMPOSTAZIONI!$C$7&amp;" giorni",""),4,300)))</f>
        <v/>
      </c>
      <c r="G137" s="16" t="n"/>
      <c r="H137" s="11" t="n"/>
      <c r="I137" s="13" t="n"/>
      <c r="J137" s="17">
        <f>IF($I137="","",TODAY()-$I137)</f>
        <v/>
      </c>
      <c r="K137" s="17">
        <f>IF($C137="","",$C137-TODAY())</f>
        <v/>
      </c>
      <c r="L137" s="15">
        <f>IF($A137="","",N($D137)&amp;"/"&amp;IMPOSTAZIONI!$C$5)</f>
        <v/>
      </c>
      <c r="M137" s="15">
        <f>IF($S137="","",IF($S137="RECUPERA CON INCENTIVO",INCENTIVI!$C$7,IF($S137="RICHIAMO MANTENIMENTO",INCENTIVI!$C$6,IF(OR($S137="FUORI FINESTRA",$S137="ULTIMA SEDUTA"),INCENTIVI!$C$5,""))))</f>
        <v/>
      </c>
      <c r="N137" s="18" t="n"/>
      <c r="O137" s="19">
        <f>IF($A137="","",N($D137)*N($N137))</f>
        <v/>
      </c>
      <c r="P137" s="19">
        <f>IF($A137="","",MAX(0,(IMPOSTAZIONI!$C$5-N($D137))*N($N137)))</f>
        <v/>
      </c>
      <c r="Q137" s="13" t="n"/>
      <c r="R137" s="11" t="n"/>
      <c r="S137" s="15">
        <f>IF($A137="","",IF(AND($C137&lt;&gt;"",$C137&lt;TODAY(),OR($I137="",$I137&lt;$C137)),"APPUNTAMENTO SALTATO",IF(AND($C137&lt;&gt;"",$C137-TODAY()=1),"CONFERMA DOMANI",IF(AND($C137&lt;&gt;"",$C137-TODAY()=IMPOSTAZIONI!$C$8),"CHIAMA PER CONFERMA",IF(AND($C137&lt;&gt;"",$C137&gt;=TODAY()),"",IF($E137="Sospesa","",IF($E137="Persa","RECUPERA CON INCENTIVO",IF(AND($I137&lt;&gt;"",TODAY()&gt;=EDATE($I137,IMPOSTAZIONI!$C$10)),"RECUPERA CON INCENTIVO",IF($E137="Mantenimento",IF(AND($I137&lt;&gt;"",TODAY()-$I137&gt;=IMPOSTAZIONI!$C$9),"RICHIAMO MANTENIMENTO",""),IF($E137="In ciclo",IF(N($D137)&gt;=IMPOSTAZIONI!$C$5,"ULTIMA SEDUTA",IF(AND($I137&lt;&gt;"",TODAY()-$I137&gt;IMPOSTAZIONI!$C$7),"FUORI FINESTRA","PRENDI APPUNTAMENTO")),IF($E137="Da contattare","PRENDI APPUNTAMENTO","")))))))))))</f>
        <v/>
      </c>
      <c r="T137" s="17">
        <f>IF($S137="","",IFERROR(MATCH($S137,IMPOSTAZIONI!$F$5:$F$12,0),9)*100000000+(9999-MIN(9999,ROUND(N($O137)/100,0)))*10000+ROW())</f>
        <v/>
      </c>
    </row>
    <row r="138">
      <c r="A138" s="11" t="n"/>
      <c r="B138" s="12">
        <f>IF($S138="","",IFERROR(MATCH($S138,IMPOSTAZIONI!$F$5:$F$12,0),9)&amp;" · "&amp;$S138)</f>
        <v/>
      </c>
      <c r="C138" s="13" t="n"/>
      <c r="D138" s="14" t="n"/>
      <c r="E138" s="11" t="n"/>
      <c r="F138" s="15">
        <f>IF($A138="","",IF(LEN(IF(AND($C138&lt;&gt;"",$C138=TODAY())," · oggi in centro","")&amp;IF(AND($C138&lt;&gt;"",$C138&gt;=TODAY(),N($D138)+1&gt;=IMPOSTAZIONI!$C$5)," · ultima del ciclo, proponi il mantenimento","")&amp;IF(AND($C138&lt;&gt;"",$C138&gt;=TODAY(),$I138&lt;&gt;"",$C138-$I138&lt;IMPOSTAZIONI!$C$6)," · rientro anticipato, meno di "&amp;IMPOSTAZIONI!$C$6&amp;" giorni","")&amp;IF(AND($C138&lt;&gt;"",$C138&gt;=TODAY(),$I138&lt;&gt;"",$C138-$I138&gt;IMPOSTAZIONI!$C$7)," · rientro oltre "&amp;IMPOSTAZIONI!$C$7&amp;" giorni",""))=0,"",MID(IF(AND($C138&lt;&gt;"",$C138=TODAY())," · oggi in centro","")&amp;IF(AND($C138&lt;&gt;"",$C138&gt;=TODAY(),N($D138)+1&gt;=IMPOSTAZIONI!$C$5)," · ultima del ciclo, proponi il mantenimento","")&amp;IF(AND($C138&lt;&gt;"",$C138&gt;=TODAY(),$I138&lt;&gt;"",$C138-$I138&lt;IMPOSTAZIONI!$C$6)," · rientro anticipato, meno di "&amp;IMPOSTAZIONI!$C$6&amp;" giorni","")&amp;IF(AND($C138&lt;&gt;"",$C138&gt;=TODAY(),$I138&lt;&gt;"",$C138-$I138&gt;IMPOSTAZIONI!$C$7)," · rientro oltre "&amp;IMPOSTAZIONI!$C$7&amp;" giorni",""),4,300)))</f>
        <v/>
      </c>
      <c r="G138" s="16" t="n"/>
      <c r="H138" s="11" t="n"/>
      <c r="I138" s="13" t="n"/>
      <c r="J138" s="17">
        <f>IF($I138="","",TODAY()-$I138)</f>
        <v/>
      </c>
      <c r="K138" s="17">
        <f>IF($C138="","",$C138-TODAY())</f>
        <v/>
      </c>
      <c r="L138" s="15">
        <f>IF($A138="","",N($D138)&amp;"/"&amp;IMPOSTAZIONI!$C$5)</f>
        <v/>
      </c>
      <c r="M138" s="15">
        <f>IF($S138="","",IF($S138="RECUPERA CON INCENTIVO",INCENTIVI!$C$7,IF($S138="RICHIAMO MANTENIMENTO",INCENTIVI!$C$6,IF(OR($S138="FUORI FINESTRA",$S138="ULTIMA SEDUTA"),INCENTIVI!$C$5,""))))</f>
        <v/>
      </c>
      <c r="N138" s="18" t="n"/>
      <c r="O138" s="19">
        <f>IF($A138="","",N($D138)*N($N138))</f>
        <v/>
      </c>
      <c r="P138" s="19">
        <f>IF($A138="","",MAX(0,(IMPOSTAZIONI!$C$5-N($D138))*N($N138)))</f>
        <v/>
      </c>
      <c r="Q138" s="13" t="n"/>
      <c r="R138" s="11" t="n"/>
      <c r="S138" s="15">
        <f>IF($A138="","",IF(AND($C138&lt;&gt;"",$C138&lt;TODAY(),OR($I138="",$I138&lt;$C138)),"APPUNTAMENTO SALTATO",IF(AND($C138&lt;&gt;"",$C138-TODAY()=1),"CONFERMA DOMANI",IF(AND($C138&lt;&gt;"",$C138-TODAY()=IMPOSTAZIONI!$C$8),"CHIAMA PER CONFERMA",IF(AND($C138&lt;&gt;"",$C138&gt;=TODAY()),"",IF($E138="Sospesa","",IF($E138="Persa","RECUPERA CON INCENTIVO",IF(AND($I138&lt;&gt;"",TODAY()&gt;=EDATE($I138,IMPOSTAZIONI!$C$10)),"RECUPERA CON INCENTIVO",IF($E138="Mantenimento",IF(AND($I138&lt;&gt;"",TODAY()-$I138&gt;=IMPOSTAZIONI!$C$9),"RICHIAMO MANTENIMENTO",""),IF($E138="In ciclo",IF(N($D138)&gt;=IMPOSTAZIONI!$C$5,"ULTIMA SEDUTA",IF(AND($I138&lt;&gt;"",TODAY()-$I138&gt;IMPOSTAZIONI!$C$7),"FUORI FINESTRA","PRENDI APPUNTAMENTO")),IF($E138="Da contattare","PRENDI APPUNTAMENTO","")))))))))))</f>
        <v/>
      </c>
      <c r="T138" s="17">
        <f>IF($S138="","",IFERROR(MATCH($S138,IMPOSTAZIONI!$F$5:$F$12,0),9)*100000000+(9999-MIN(9999,ROUND(N($O138)/100,0)))*10000+ROW())</f>
        <v/>
      </c>
    </row>
    <row r="139">
      <c r="A139" s="11" t="n"/>
      <c r="B139" s="12">
        <f>IF($S139="","",IFERROR(MATCH($S139,IMPOSTAZIONI!$F$5:$F$12,0),9)&amp;" · "&amp;$S139)</f>
        <v/>
      </c>
      <c r="C139" s="13" t="n"/>
      <c r="D139" s="14" t="n"/>
      <c r="E139" s="11" t="n"/>
      <c r="F139" s="15">
        <f>IF($A139="","",IF(LEN(IF(AND($C139&lt;&gt;"",$C139=TODAY())," · oggi in centro","")&amp;IF(AND($C139&lt;&gt;"",$C139&gt;=TODAY(),N($D139)+1&gt;=IMPOSTAZIONI!$C$5)," · ultima del ciclo, proponi il mantenimento","")&amp;IF(AND($C139&lt;&gt;"",$C139&gt;=TODAY(),$I139&lt;&gt;"",$C139-$I139&lt;IMPOSTAZIONI!$C$6)," · rientro anticipato, meno di "&amp;IMPOSTAZIONI!$C$6&amp;" giorni","")&amp;IF(AND($C139&lt;&gt;"",$C139&gt;=TODAY(),$I139&lt;&gt;"",$C139-$I139&gt;IMPOSTAZIONI!$C$7)," · rientro oltre "&amp;IMPOSTAZIONI!$C$7&amp;" giorni",""))=0,"",MID(IF(AND($C139&lt;&gt;"",$C139=TODAY())," · oggi in centro","")&amp;IF(AND($C139&lt;&gt;"",$C139&gt;=TODAY(),N($D139)+1&gt;=IMPOSTAZIONI!$C$5)," · ultima del ciclo, proponi il mantenimento","")&amp;IF(AND($C139&lt;&gt;"",$C139&gt;=TODAY(),$I139&lt;&gt;"",$C139-$I139&lt;IMPOSTAZIONI!$C$6)," · rientro anticipato, meno di "&amp;IMPOSTAZIONI!$C$6&amp;" giorni","")&amp;IF(AND($C139&lt;&gt;"",$C139&gt;=TODAY(),$I139&lt;&gt;"",$C139-$I139&gt;IMPOSTAZIONI!$C$7)," · rientro oltre "&amp;IMPOSTAZIONI!$C$7&amp;" giorni",""),4,300)))</f>
        <v/>
      </c>
      <c r="G139" s="16" t="n"/>
      <c r="H139" s="11" t="n"/>
      <c r="I139" s="13" t="n"/>
      <c r="J139" s="17">
        <f>IF($I139="","",TODAY()-$I139)</f>
        <v/>
      </c>
      <c r="K139" s="17">
        <f>IF($C139="","",$C139-TODAY())</f>
        <v/>
      </c>
      <c r="L139" s="15">
        <f>IF($A139="","",N($D139)&amp;"/"&amp;IMPOSTAZIONI!$C$5)</f>
        <v/>
      </c>
      <c r="M139" s="15">
        <f>IF($S139="","",IF($S139="RECUPERA CON INCENTIVO",INCENTIVI!$C$7,IF($S139="RICHIAMO MANTENIMENTO",INCENTIVI!$C$6,IF(OR($S139="FUORI FINESTRA",$S139="ULTIMA SEDUTA"),INCENTIVI!$C$5,""))))</f>
        <v/>
      </c>
      <c r="N139" s="18" t="n"/>
      <c r="O139" s="19">
        <f>IF($A139="","",N($D139)*N($N139))</f>
        <v/>
      </c>
      <c r="P139" s="19">
        <f>IF($A139="","",MAX(0,(IMPOSTAZIONI!$C$5-N($D139))*N($N139)))</f>
        <v/>
      </c>
      <c r="Q139" s="13" t="n"/>
      <c r="R139" s="11" t="n"/>
      <c r="S139" s="15">
        <f>IF($A139="","",IF(AND($C139&lt;&gt;"",$C139&lt;TODAY(),OR($I139="",$I139&lt;$C139)),"APPUNTAMENTO SALTATO",IF(AND($C139&lt;&gt;"",$C139-TODAY()=1),"CONFERMA DOMANI",IF(AND($C139&lt;&gt;"",$C139-TODAY()=IMPOSTAZIONI!$C$8),"CHIAMA PER CONFERMA",IF(AND($C139&lt;&gt;"",$C139&gt;=TODAY()),"",IF($E139="Sospesa","",IF($E139="Persa","RECUPERA CON INCENTIVO",IF(AND($I139&lt;&gt;"",TODAY()&gt;=EDATE($I139,IMPOSTAZIONI!$C$10)),"RECUPERA CON INCENTIVO",IF($E139="Mantenimento",IF(AND($I139&lt;&gt;"",TODAY()-$I139&gt;=IMPOSTAZIONI!$C$9),"RICHIAMO MANTENIMENTO",""),IF($E139="In ciclo",IF(N($D139)&gt;=IMPOSTAZIONI!$C$5,"ULTIMA SEDUTA",IF(AND($I139&lt;&gt;"",TODAY()-$I139&gt;IMPOSTAZIONI!$C$7),"FUORI FINESTRA","PRENDI APPUNTAMENTO")),IF($E139="Da contattare","PRENDI APPUNTAMENTO","")))))))))))</f>
        <v/>
      </c>
      <c r="T139" s="17">
        <f>IF($S139="","",IFERROR(MATCH($S139,IMPOSTAZIONI!$F$5:$F$12,0),9)*100000000+(9999-MIN(9999,ROUND(N($O139)/100,0)))*10000+ROW())</f>
        <v/>
      </c>
    </row>
    <row r="140">
      <c r="A140" s="11" t="n"/>
      <c r="B140" s="12">
        <f>IF($S140="","",IFERROR(MATCH($S140,IMPOSTAZIONI!$F$5:$F$12,0),9)&amp;" · "&amp;$S140)</f>
        <v/>
      </c>
      <c r="C140" s="13" t="n"/>
      <c r="D140" s="14" t="n"/>
      <c r="E140" s="11" t="n"/>
      <c r="F140" s="15">
        <f>IF($A140="","",IF(LEN(IF(AND($C140&lt;&gt;"",$C140=TODAY())," · oggi in centro","")&amp;IF(AND($C140&lt;&gt;"",$C140&gt;=TODAY(),N($D140)+1&gt;=IMPOSTAZIONI!$C$5)," · ultima del ciclo, proponi il mantenimento","")&amp;IF(AND($C140&lt;&gt;"",$C140&gt;=TODAY(),$I140&lt;&gt;"",$C140-$I140&lt;IMPOSTAZIONI!$C$6)," · rientro anticipato, meno di "&amp;IMPOSTAZIONI!$C$6&amp;" giorni","")&amp;IF(AND($C140&lt;&gt;"",$C140&gt;=TODAY(),$I140&lt;&gt;"",$C140-$I140&gt;IMPOSTAZIONI!$C$7)," · rientro oltre "&amp;IMPOSTAZIONI!$C$7&amp;" giorni",""))=0,"",MID(IF(AND($C140&lt;&gt;"",$C140=TODAY())," · oggi in centro","")&amp;IF(AND($C140&lt;&gt;"",$C140&gt;=TODAY(),N($D140)+1&gt;=IMPOSTAZIONI!$C$5)," · ultima del ciclo, proponi il mantenimento","")&amp;IF(AND($C140&lt;&gt;"",$C140&gt;=TODAY(),$I140&lt;&gt;"",$C140-$I140&lt;IMPOSTAZIONI!$C$6)," · rientro anticipato, meno di "&amp;IMPOSTAZIONI!$C$6&amp;" giorni","")&amp;IF(AND($C140&lt;&gt;"",$C140&gt;=TODAY(),$I140&lt;&gt;"",$C140-$I140&gt;IMPOSTAZIONI!$C$7)," · rientro oltre "&amp;IMPOSTAZIONI!$C$7&amp;" giorni",""),4,300)))</f>
        <v/>
      </c>
      <c r="G140" s="16" t="n"/>
      <c r="H140" s="11" t="n"/>
      <c r="I140" s="13" t="n"/>
      <c r="J140" s="17">
        <f>IF($I140="","",TODAY()-$I140)</f>
        <v/>
      </c>
      <c r="K140" s="17">
        <f>IF($C140="","",$C140-TODAY())</f>
        <v/>
      </c>
      <c r="L140" s="15">
        <f>IF($A140="","",N($D140)&amp;"/"&amp;IMPOSTAZIONI!$C$5)</f>
        <v/>
      </c>
      <c r="M140" s="15">
        <f>IF($S140="","",IF($S140="RECUPERA CON INCENTIVO",INCENTIVI!$C$7,IF($S140="RICHIAMO MANTENIMENTO",INCENTIVI!$C$6,IF(OR($S140="FUORI FINESTRA",$S140="ULTIMA SEDUTA"),INCENTIVI!$C$5,""))))</f>
        <v/>
      </c>
      <c r="N140" s="18" t="n"/>
      <c r="O140" s="19">
        <f>IF($A140="","",N($D140)*N($N140))</f>
        <v/>
      </c>
      <c r="P140" s="19">
        <f>IF($A140="","",MAX(0,(IMPOSTAZIONI!$C$5-N($D140))*N($N140)))</f>
        <v/>
      </c>
      <c r="Q140" s="13" t="n"/>
      <c r="R140" s="11" t="n"/>
      <c r="S140" s="15">
        <f>IF($A140="","",IF(AND($C140&lt;&gt;"",$C140&lt;TODAY(),OR($I140="",$I140&lt;$C140)),"APPUNTAMENTO SALTATO",IF(AND($C140&lt;&gt;"",$C140-TODAY()=1),"CONFERMA DOMANI",IF(AND($C140&lt;&gt;"",$C140-TODAY()=IMPOSTAZIONI!$C$8),"CHIAMA PER CONFERMA",IF(AND($C140&lt;&gt;"",$C140&gt;=TODAY()),"",IF($E140="Sospesa","",IF($E140="Persa","RECUPERA CON INCENTIVO",IF(AND($I140&lt;&gt;"",TODAY()&gt;=EDATE($I140,IMPOSTAZIONI!$C$10)),"RECUPERA CON INCENTIVO",IF($E140="Mantenimento",IF(AND($I140&lt;&gt;"",TODAY()-$I140&gt;=IMPOSTAZIONI!$C$9),"RICHIAMO MANTENIMENTO",""),IF($E140="In ciclo",IF(N($D140)&gt;=IMPOSTAZIONI!$C$5,"ULTIMA SEDUTA",IF(AND($I140&lt;&gt;"",TODAY()-$I140&gt;IMPOSTAZIONI!$C$7),"FUORI FINESTRA","PRENDI APPUNTAMENTO")),IF($E140="Da contattare","PRENDI APPUNTAMENTO","")))))))))))</f>
        <v/>
      </c>
      <c r="T140" s="17">
        <f>IF($S140="","",IFERROR(MATCH($S140,IMPOSTAZIONI!$F$5:$F$12,0),9)*100000000+(9999-MIN(9999,ROUND(N($O140)/100,0)))*10000+ROW())</f>
        <v/>
      </c>
    </row>
    <row r="141">
      <c r="A141" s="11" t="n"/>
      <c r="B141" s="12">
        <f>IF($S141="","",IFERROR(MATCH($S141,IMPOSTAZIONI!$F$5:$F$12,0),9)&amp;" · "&amp;$S141)</f>
        <v/>
      </c>
      <c r="C141" s="13" t="n"/>
      <c r="D141" s="14" t="n"/>
      <c r="E141" s="11" t="n"/>
      <c r="F141" s="15">
        <f>IF($A141="","",IF(LEN(IF(AND($C141&lt;&gt;"",$C141=TODAY())," · oggi in centro","")&amp;IF(AND($C141&lt;&gt;"",$C141&gt;=TODAY(),N($D141)+1&gt;=IMPOSTAZIONI!$C$5)," · ultima del ciclo, proponi il mantenimento","")&amp;IF(AND($C141&lt;&gt;"",$C141&gt;=TODAY(),$I141&lt;&gt;"",$C141-$I141&lt;IMPOSTAZIONI!$C$6)," · rientro anticipato, meno di "&amp;IMPOSTAZIONI!$C$6&amp;" giorni","")&amp;IF(AND($C141&lt;&gt;"",$C141&gt;=TODAY(),$I141&lt;&gt;"",$C141-$I141&gt;IMPOSTAZIONI!$C$7)," · rientro oltre "&amp;IMPOSTAZIONI!$C$7&amp;" giorni",""))=0,"",MID(IF(AND($C141&lt;&gt;"",$C141=TODAY())," · oggi in centro","")&amp;IF(AND($C141&lt;&gt;"",$C141&gt;=TODAY(),N($D141)+1&gt;=IMPOSTAZIONI!$C$5)," · ultima del ciclo, proponi il mantenimento","")&amp;IF(AND($C141&lt;&gt;"",$C141&gt;=TODAY(),$I141&lt;&gt;"",$C141-$I141&lt;IMPOSTAZIONI!$C$6)," · rientro anticipato, meno di "&amp;IMPOSTAZIONI!$C$6&amp;" giorni","")&amp;IF(AND($C141&lt;&gt;"",$C141&gt;=TODAY(),$I141&lt;&gt;"",$C141-$I141&gt;IMPOSTAZIONI!$C$7)," · rientro oltre "&amp;IMPOSTAZIONI!$C$7&amp;" giorni",""),4,300)))</f>
        <v/>
      </c>
      <c r="G141" s="16" t="n"/>
      <c r="H141" s="11" t="n"/>
      <c r="I141" s="13" t="n"/>
      <c r="J141" s="17">
        <f>IF($I141="","",TODAY()-$I141)</f>
        <v/>
      </c>
      <c r="K141" s="17">
        <f>IF($C141="","",$C141-TODAY())</f>
        <v/>
      </c>
      <c r="L141" s="15">
        <f>IF($A141="","",N($D141)&amp;"/"&amp;IMPOSTAZIONI!$C$5)</f>
        <v/>
      </c>
      <c r="M141" s="15">
        <f>IF($S141="","",IF($S141="RECUPERA CON INCENTIVO",INCENTIVI!$C$7,IF($S141="RICHIAMO MANTENIMENTO",INCENTIVI!$C$6,IF(OR($S141="FUORI FINESTRA",$S141="ULTIMA SEDUTA"),INCENTIVI!$C$5,""))))</f>
        <v/>
      </c>
      <c r="N141" s="18" t="n"/>
      <c r="O141" s="19">
        <f>IF($A141="","",N($D141)*N($N141))</f>
        <v/>
      </c>
      <c r="P141" s="19">
        <f>IF($A141="","",MAX(0,(IMPOSTAZIONI!$C$5-N($D141))*N($N141)))</f>
        <v/>
      </c>
      <c r="Q141" s="13" t="n"/>
      <c r="R141" s="11" t="n"/>
      <c r="S141" s="15">
        <f>IF($A141="","",IF(AND($C141&lt;&gt;"",$C141&lt;TODAY(),OR($I141="",$I141&lt;$C141)),"APPUNTAMENTO SALTATO",IF(AND($C141&lt;&gt;"",$C141-TODAY()=1),"CONFERMA DOMANI",IF(AND($C141&lt;&gt;"",$C141-TODAY()=IMPOSTAZIONI!$C$8),"CHIAMA PER CONFERMA",IF(AND($C141&lt;&gt;"",$C141&gt;=TODAY()),"",IF($E141="Sospesa","",IF($E141="Persa","RECUPERA CON INCENTIVO",IF(AND($I141&lt;&gt;"",TODAY()&gt;=EDATE($I141,IMPOSTAZIONI!$C$10)),"RECUPERA CON INCENTIVO",IF($E141="Mantenimento",IF(AND($I141&lt;&gt;"",TODAY()-$I141&gt;=IMPOSTAZIONI!$C$9),"RICHIAMO MANTENIMENTO",""),IF($E141="In ciclo",IF(N($D141)&gt;=IMPOSTAZIONI!$C$5,"ULTIMA SEDUTA",IF(AND($I141&lt;&gt;"",TODAY()-$I141&gt;IMPOSTAZIONI!$C$7),"FUORI FINESTRA","PRENDI APPUNTAMENTO")),IF($E141="Da contattare","PRENDI APPUNTAMENTO","")))))))))))</f>
        <v/>
      </c>
      <c r="T141" s="17">
        <f>IF($S141="","",IFERROR(MATCH($S141,IMPOSTAZIONI!$F$5:$F$12,0),9)*100000000+(9999-MIN(9999,ROUND(N($O141)/100,0)))*10000+ROW())</f>
        <v/>
      </c>
    </row>
    <row r="142">
      <c r="A142" s="11" t="n"/>
      <c r="B142" s="12">
        <f>IF($S142="","",IFERROR(MATCH($S142,IMPOSTAZIONI!$F$5:$F$12,0),9)&amp;" · "&amp;$S142)</f>
        <v/>
      </c>
      <c r="C142" s="13" t="n"/>
      <c r="D142" s="14" t="n"/>
      <c r="E142" s="11" t="n"/>
      <c r="F142" s="15">
        <f>IF($A142="","",IF(LEN(IF(AND($C142&lt;&gt;"",$C142=TODAY())," · oggi in centro","")&amp;IF(AND($C142&lt;&gt;"",$C142&gt;=TODAY(),N($D142)+1&gt;=IMPOSTAZIONI!$C$5)," · ultima del ciclo, proponi il mantenimento","")&amp;IF(AND($C142&lt;&gt;"",$C142&gt;=TODAY(),$I142&lt;&gt;"",$C142-$I142&lt;IMPOSTAZIONI!$C$6)," · rientro anticipato, meno di "&amp;IMPOSTAZIONI!$C$6&amp;" giorni","")&amp;IF(AND($C142&lt;&gt;"",$C142&gt;=TODAY(),$I142&lt;&gt;"",$C142-$I142&gt;IMPOSTAZIONI!$C$7)," · rientro oltre "&amp;IMPOSTAZIONI!$C$7&amp;" giorni",""))=0,"",MID(IF(AND($C142&lt;&gt;"",$C142=TODAY())," · oggi in centro","")&amp;IF(AND($C142&lt;&gt;"",$C142&gt;=TODAY(),N($D142)+1&gt;=IMPOSTAZIONI!$C$5)," · ultima del ciclo, proponi il mantenimento","")&amp;IF(AND($C142&lt;&gt;"",$C142&gt;=TODAY(),$I142&lt;&gt;"",$C142-$I142&lt;IMPOSTAZIONI!$C$6)," · rientro anticipato, meno di "&amp;IMPOSTAZIONI!$C$6&amp;" giorni","")&amp;IF(AND($C142&lt;&gt;"",$C142&gt;=TODAY(),$I142&lt;&gt;"",$C142-$I142&gt;IMPOSTAZIONI!$C$7)," · rientro oltre "&amp;IMPOSTAZIONI!$C$7&amp;" giorni",""),4,300)))</f>
        <v/>
      </c>
      <c r="G142" s="16" t="n"/>
      <c r="H142" s="11" t="n"/>
      <c r="I142" s="13" t="n"/>
      <c r="J142" s="17">
        <f>IF($I142="","",TODAY()-$I142)</f>
        <v/>
      </c>
      <c r="K142" s="17">
        <f>IF($C142="","",$C142-TODAY())</f>
        <v/>
      </c>
      <c r="L142" s="15">
        <f>IF($A142="","",N($D142)&amp;"/"&amp;IMPOSTAZIONI!$C$5)</f>
        <v/>
      </c>
      <c r="M142" s="15">
        <f>IF($S142="","",IF($S142="RECUPERA CON INCENTIVO",INCENTIVI!$C$7,IF($S142="RICHIAMO MANTENIMENTO",INCENTIVI!$C$6,IF(OR($S142="FUORI FINESTRA",$S142="ULTIMA SEDUTA"),INCENTIVI!$C$5,""))))</f>
        <v/>
      </c>
      <c r="N142" s="18" t="n"/>
      <c r="O142" s="19">
        <f>IF($A142="","",N($D142)*N($N142))</f>
        <v/>
      </c>
      <c r="P142" s="19">
        <f>IF($A142="","",MAX(0,(IMPOSTAZIONI!$C$5-N($D142))*N($N142)))</f>
        <v/>
      </c>
      <c r="Q142" s="13" t="n"/>
      <c r="R142" s="11" t="n"/>
      <c r="S142" s="15">
        <f>IF($A142="","",IF(AND($C142&lt;&gt;"",$C142&lt;TODAY(),OR($I142="",$I142&lt;$C142)),"APPUNTAMENTO SALTATO",IF(AND($C142&lt;&gt;"",$C142-TODAY()=1),"CONFERMA DOMANI",IF(AND($C142&lt;&gt;"",$C142-TODAY()=IMPOSTAZIONI!$C$8),"CHIAMA PER CONFERMA",IF(AND($C142&lt;&gt;"",$C142&gt;=TODAY()),"",IF($E142="Sospesa","",IF($E142="Persa","RECUPERA CON INCENTIVO",IF(AND($I142&lt;&gt;"",TODAY()&gt;=EDATE($I142,IMPOSTAZIONI!$C$10)),"RECUPERA CON INCENTIVO",IF($E142="Mantenimento",IF(AND($I142&lt;&gt;"",TODAY()-$I142&gt;=IMPOSTAZIONI!$C$9),"RICHIAMO MANTENIMENTO",""),IF($E142="In ciclo",IF(N($D142)&gt;=IMPOSTAZIONI!$C$5,"ULTIMA SEDUTA",IF(AND($I142&lt;&gt;"",TODAY()-$I142&gt;IMPOSTAZIONI!$C$7),"FUORI FINESTRA","PRENDI APPUNTAMENTO")),IF($E142="Da contattare","PRENDI APPUNTAMENTO","")))))))))))</f>
        <v/>
      </c>
      <c r="T142" s="17">
        <f>IF($S142="","",IFERROR(MATCH($S142,IMPOSTAZIONI!$F$5:$F$12,0),9)*100000000+(9999-MIN(9999,ROUND(N($O142)/100,0)))*10000+ROW())</f>
        <v/>
      </c>
    </row>
    <row r="143">
      <c r="A143" s="11" t="n"/>
      <c r="B143" s="12">
        <f>IF($S143="","",IFERROR(MATCH($S143,IMPOSTAZIONI!$F$5:$F$12,0),9)&amp;" · "&amp;$S143)</f>
        <v/>
      </c>
      <c r="C143" s="13" t="n"/>
      <c r="D143" s="14" t="n"/>
      <c r="E143" s="11" t="n"/>
      <c r="F143" s="15">
        <f>IF($A143="","",IF(LEN(IF(AND($C143&lt;&gt;"",$C143=TODAY())," · oggi in centro","")&amp;IF(AND($C143&lt;&gt;"",$C143&gt;=TODAY(),N($D143)+1&gt;=IMPOSTAZIONI!$C$5)," · ultima del ciclo, proponi il mantenimento","")&amp;IF(AND($C143&lt;&gt;"",$C143&gt;=TODAY(),$I143&lt;&gt;"",$C143-$I143&lt;IMPOSTAZIONI!$C$6)," · rientro anticipato, meno di "&amp;IMPOSTAZIONI!$C$6&amp;" giorni","")&amp;IF(AND($C143&lt;&gt;"",$C143&gt;=TODAY(),$I143&lt;&gt;"",$C143-$I143&gt;IMPOSTAZIONI!$C$7)," · rientro oltre "&amp;IMPOSTAZIONI!$C$7&amp;" giorni",""))=0,"",MID(IF(AND($C143&lt;&gt;"",$C143=TODAY())," · oggi in centro","")&amp;IF(AND($C143&lt;&gt;"",$C143&gt;=TODAY(),N($D143)+1&gt;=IMPOSTAZIONI!$C$5)," · ultima del ciclo, proponi il mantenimento","")&amp;IF(AND($C143&lt;&gt;"",$C143&gt;=TODAY(),$I143&lt;&gt;"",$C143-$I143&lt;IMPOSTAZIONI!$C$6)," · rientro anticipato, meno di "&amp;IMPOSTAZIONI!$C$6&amp;" giorni","")&amp;IF(AND($C143&lt;&gt;"",$C143&gt;=TODAY(),$I143&lt;&gt;"",$C143-$I143&gt;IMPOSTAZIONI!$C$7)," · rientro oltre "&amp;IMPOSTAZIONI!$C$7&amp;" giorni",""),4,300)))</f>
        <v/>
      </c>
      <c r="G143" s="16" t="n"/>
      <c r="H143" s="11" t="n"/>
      <c r="I143" s="13" t="n"/>
      <c r="J143" s="17">
        <f>IF($I143="","",TODAY()-$I143)</f>
        <v/>
      </c>
      <c r="K143" s="17">
        <f>IF($C143="","",$C143-TODAY())</f>
        <v/>
      </c>
      <c r="L143" s="15">
        <f>IF($A143="","",N($D143)&amp;"/"&amp;IMPOSTAZIONI!$C$5)</f>
        <v/>
      </c>
      <c r="M143" s="15">
        <f>IF($S143="","",IF($S143="RECUPERA CON INCENTIVO",INCENTIVI!$C$7,IF($S143="RICHIAMO MANTENIMENTO",INCENTIVI!$C$6,IF(OR($S143="FUORI FINESTRA",$S143="ULTIMA SEDUTA"),INCENTIVI!$C$5,""))))</f>
        <v/>
      </c>
      <c r="N143" s="18" t="n"/>
      <c r="O143" s="19">
        <f>IF($A143="","",N($D143)*N($N143))</f>
        <v/>
      </c>
      <c r="P143" s="19">
        <f>IF($A143="","",MAX(0,(IMPOSTAZIONI!$C$5-N($D143))*N($N143)))</f>
        <v/>
      </c>
      <c r="Q143" s="13" t="n"/>
      <c r="R143" s="11" t="n"/>
      <c r="S143" s="15">
        <f>IF($A143="","",IF(AND($C143&lt;&gt;"",$C143&lt;TODAY(),OR($I143="",$I143&lt;$C143)),"APPUNTAMENTO SALTATO",IF(AND($C143&lt;&gt;"",$C143-TODAY()=1),"CONFERMA DOMANI",IF(AND($C143&lt;&gt;"",$C143-TODAY()=IMPOSTAZIONI!$C$8),"CHIAMA PER CONFERMA",IF(AND($C143&lt;&gt;"",$C143&gt;=TODAY()),"",IF($E143="Sospesa","",IF($E143="Persa","RECUPERA CON INCENTIVO",IF(AND($I143&lt;&gt;"",TODAY()&gt;=EDATE($I143,IMPOSTAZIONI!$C$10)),"RECUPERA CON INCENTIVO",IF($E143="Mantenimento",IF(AND($I143&lt;&gt;"",TODAY()-$I143&gt;=IMPOSTAZIONI!$C$9),"RICHIAMO MANTENIMENTO",""),IF($E143="In ciclo",IF(N($D143)&gt;=IMPOSTAZIONI!$C$5,"ULTIMA SEDUTA",IF(AND($I143&lt;&gt;"",TODAY()-$I143&gt;IMPOSTAZIONI!$C$7),"FUORI FINESTRA","PRENDI APPUNTAMENTO")),IF($E143="Da contattare","PRENDI APPUNTAMENTO","")))))))))))</f>
        <v/>
      </c>
      <c r="T143" s="17">
        <f>IF($S143="","",IFERROR(MATCH($S143,IMPOSTAZIONI!$F$5:$F$12,0),9)*100000000+(9999-MIN(9999,ROUND(N($O143)/100,0)))*10000+ROW())</f>
        <v/>
      </c>
    </row>
    <row r="144">
      <c r="A144" s="11" t="n"/>
      <c r="B144" s="12">
        <f>IF($S144="","",IFERROR(MATCH($S144,IMPOSTAZIONI!$F$5:$F$12,0),9)&amp;" · "&amp;$S144)</f>
        <v/>
      </c>
      <c r="C144" s="13" t="n"/>
      <c r="D144" s="14" t="n"/>
      <c r="E144" s="11" t="n"/>
      <c r="F144" s="15">
        <f>IF($A144="","",IF(LEN(IF(AND($C144&lt;&gt;"",$C144=TODAY())," · oggi in centro","")&amp;IF(AND($C144&lt;&gt;"",$C144&gt;=TODAY(),N($D144)+1&gt;=IMPOSTAZIONI!$C$5)," · ultima del ciclo, proponi il mantenimento","")&amp;IF(AND($C144&lt;&gt;"",$C144&gt;=TODAY(),$I144&lt;&gt;"",$C144-$I144&lt;IMPOSTAZIONI!$C$6)," · rientro anticipato, meno di "&amp;IMPOSTAZIONI!$C$6&amp;" giorni","")&amp;IF(AND($C144&lt;&gt;"",$C144&gt;=TODAY(),$I144&lt;&gt;"",$C144-$I144&gt;IMPOSTAZIONI!$C$7)," · rientro oltre "&amp;IMPOSTAZIONI!$C$7&amp;" giorni",""))=0,"",MID(IF(AND($C144&lt;&gt;"",$C144=TODAY())," · oggi in centro","")&amp;IF(AND($C144&lt;&gt;"",$C144&gt;=TODAY(),N($D144)+1&gt;=IMPOSTAZIONI!$C$5)," · ultima del ciclo, proponi il mantenimento","")&amp;IF(AND($C144&lt;&gt;"",$C144&gt;=TODAY(),$I144&lt;&gt;"",$C144-$I144&lt;IMPOSTAZIONI!$C$6)," · rientro anticipato, meno di "&amp;IMPOSTAZIONI!$C$6&amp;" giorni","")&amp;IF(AND($C144&lt;&gt;"",$C144&gt;=TODAY(),$I144&lt;&gt;"",$C144-$I144&gt;IMPOSTAZIONI!$C$7)," · rientro oltre "&amp;IMPOSTAZIONI!$C$7&amp;" giorni",""),4,300)))</f>
        <v/>
      </c>
      <c r="G144" s="16" t="n"/>
      <c r="H144" s="11" t="n"/>
      <c r="I144" s="13" t="n"/>
      <c r="J144" s="17">
        <f>IF($I144="","",TODAY()-$I144)</f>
        <v/>
      </c>
      <c r="K144" s="17">
        <f>IF($C144="","",$C144-TODAY())</f>
        <v/>
      </c>
      <c r="L144" s="15">
        <f>IF($A144="","",N($D144)&amp;"/"&amp;IMPOSTAZIONI!$C$5)</f>
        <v/>
      </c>
      <c r="M144" s="15">
        <f>IF($S144="","",IF($S144="RECUPERA CON INCENTIVO",INCENTIVI!$C$7,IF($S144="RICHIAMO MANTENIMENTO",INCENTIVI!$C$6,IF(OR($S144="FUORI FINESTRA",$S144="ULTIMA SEDUTA"),INCENTIVI!$C$5,""))))</f>
        <v/>
      </c>
      <c r="N144" s="18" t="n"/>
      <c r="O144" s="19">
        <f>IF($A144="","",N($D144)*N($N144))</f>
        <v/>
      </c>
      <c r="P144" s="19">
        <f>IF($A144="","",MAX(0,(IMPOSTAZIONI!$C$5-N($D144))*N($N144)))</f>
        <v/>
      </c>
      <c r="Q144" s="13" t="n"/>
      <c r="R144" s="11" t="n"/>
      <c r="S144" s="15">
        <f>IF($A144="","",IF(AND($C144&lt;&gt;"",$C144&lt;TODAY(),OR($I144="",$I144&lt;$C144)),"APPUNTAMENTO SALTATO",IF(AND($C144&lt;&gt;"",$C144-TODAY()=1),"CONFERMA DOMANI",IF(AND($C144&lt;&gt;"",$C144-TODAY()=IMPOSTAZIONI!$C$8),"CHIAMA PER CONFERMA",IF(AND($C144&lt;&gt;"",$C144&gt;=TODAY()),"",IF($E144="Sospesa","",IF($E144="Persa","RECUPERA CON INCENTIVO",IF(AND($I144&lt;&gt;"",TODAY()&gt;=EDATE($I144,IMPOSTAZIONI!$C$10)),"RECUPERA CON INCENTIVO",IF($E144="Mantenimento",IF(AND($I144&lt;&gt;"",TODAY()-$I144&gt;=IMPOSTAZIONI!$C$9),"RICHIAMO MANTENIMENTO",""),IF($E144="In ciclo",IF(N($D144)&gt;=IMPOSTAZIONI!$C$5,"ULTIMA SEDUTA",IF(AND($I144&lt;&gt;"",TODAY()-$I144&gt;IMPOSTAZIONI!$C$7),"FUORI FINESTRA","PRENDI APPUNTAMENTO")),IF($E144="Da contattare","PRENDI APPUNTAMENTO","")))))))))))</f>
        <v/>
      </c>
      <c r="T144" s="17">
        <f>IF($S144="","",IFERROR(MATCH($S144,IMPOSTAZIONI!$F$5:$F$12,0),9)*100000000+(9999-MIN(9999,ROUND(N($O144)/100,0)))*10000+ROW())</f>
        <v/>
      </c>
    </row>
    <row r="145">
      <c r="A145" s="11" t="n"/>
      <c r="B145" s="12">
        <f>IF($S145="","",IFERROR(MATCH($S145,IMPOSTAZIONI!$F$5:$F$12,0),9)&amp;" · "&amp;$S145)</f>
        <v/>
      </c>
      <c r="C145" s="13" t="n"/>
      <c r="D145" s="14" t="n"/>
      <c r="E145" s="11" t="n"/>
      <c r="F145" s="15">
        <f>IF($A145="","",IF(LEN(IF(AND($C145&lt;&gt;"",$C145=TODAY())," · oggi in centro","")&amp;IF(AND($C145&lt;&gt;"",$C145&gt;=TODAY(),N($D145)+1&gt;=IMPOSTAZIONI!$C$5)," · ultima del ciclo, proponi il mantenimento","")&amp;IF(AND($C145&lt;&gt;"",$C145&gt;=TODAY(),$I145&lt;&gt;"",$C145-$I145&lt;IMPOSTAZIONI!$C$6)," · rientro anticipato, meno di "&amp;IMPOSTAZIONI!$C$6&amp;" giorni","")&amp;IF(AND($C145&lt;&gt;"",$C145&gt;=TODAY(),$I145&lt;&gt;"",$C145-$I145&gt;IMPOSTAZIONI!$C$7)," · rientro oltre "&amp;IMPOSTAZIONI!$C$7&amp;" giorni",""))=0,"",MID(IF(AND($C145&lt;&gt;"",$C145=TODAY())," · oggi in centro","")&amp;IF(AND($C145&lt;&gt;"",$C145&gt;=TODAY(),N($D145)+1&gt;=IMPOSTAZIONI!$C$5)," · ultima del ciclo, proponi il mantenimento","")&amp;IF(AND($C145&lt;&gt;"",$C145&gt;=TODAY(),$I145&lt;&gt;"",$C145-$I145&lt;IMPOSTAZIONI!$C$6)," · rientro anticipato, meno di "&amp;IMPOSTAZIONI!$C$6&amp;" giorni","")&amp;IF(AND($C145&lt;&gt;"",$C145&gt;=TODAY(),$I145&lt;&gt;"",$C145-$I145&gt;IMPOSTAZIONI!$C$7)," · rientro oltre "&amp;IMPOSTAZIONI!$C$7&amp;" giorni",""),4,300)))</f>
        <v/>
      </c>
      <c r="G145" s="16" t="n"/>
      <c r="H145" s="11" t="n"/>
      <c r="I145" s="13" t="n"/>
      <c r="J145" s="17">
        <f>IF($I145="","",TODAY()-$I145)</f>
        <v/>
      </c>
      <c r="K145" s="17">
        <f>IF($C145="","",$C145-TODAY())</f>
        <v/>
      </c>
      <c r="L145" s="15">
        <f>IF($A145="","",N($D145)&amp;"/"&amp;IMPOSTAZIONI!$C$5)</f>
        <v/>
      </c>
      <c r="M145" s="15">
        <f>IF($S145="","",IF($S145="RECUPERA CON INCENTIVO",INCENTIVI!$C$7,IF($S145="RICHIAMO MANTENIMENTO",INCENTIVI!$C$6,IF(OR($S145="FUORI FINESTRA",$S145="ULTIMA SEDUTA"),INCENTIVI!$C$5,""))))</f>
        <v/>
      </c>
      <c r="N145" s="18" t="n"/>
      <c r="O145" s="19">
        <f>IF($A145="","",N($D145)*N($N145))</f>
        <v/>
      </c>
      <c r="P145" s="19">
        <f>IF($A145="","",MAX(0,(IMPOSTAZIONI!$C$5-N($D145))*N($N145)))</f>
        <v/>
      </c>
      <c r="Q145" s="13" t="n"/>
      <c r="R145" s="11" t="n"/>
      <c r="S145" s="15">
        <f>IF($A145="","",IF(AND($C145&lt;&gt;"",$C145&lt;TODAY(),OR($I145="",$I145&lt;$C145)),"APPUNTAMENTO SALTATO",IF(AND($C145&lt;&gt;"",$C145-TODAY()=1),"CONFERMA DOMANI",IF(AND($C145&lt;&gt;"",$C145-TODAY()=IMPOSTAZIONI!$C$8),"CHIAMA PER CONFERMA",IF(AND($C145&lt;&gt;"",$C145&gt;=TODAY()),"",IF($E145="Sospesa","",IF($E145="Persa","RECUPERA CON INCENTIVO",IF(AND($I145&lt;&gt;"",TODAY()&gt;=EDATE($I145,IMPOSTAZIONI!$C$10)),"RECUPERA CON INCENTIVO",IF($E145="Mantenimento",IF(AND($I145&lt;&gt;"",TODAY()-$I145&gt;=IMPOSTAZIONI!$C$9),"RICHIAMO MANTENIMENTO",""),IF($E145="In ciclo",IF(N($D145)&gt;=IMPOSTAZIONI!$C$5,"ULTIMA SEDUTA",IF(AND($I145&lt;&gt;"",TODAY()-$I145&gt;IMPOSTAZIONI!$C$7),"FUORI FINESTRA","PRENDI APPUNTAMENTO")),IF($E145="Da contattare","PRENDI APPUNTAMENTO","")))))))))))</f>
        <v/>
      </c>
      <c r="T145" s="17">
        <f>IF($S145="","",IFERROR(MATCH($S145,IMPOSTAZIONI!$F$5:$F$12,0),9)*100000000+(9999-MIN(9999,ROUND(N($O145)/100,0)))*10000+ROW())</f>
        <v/>
      </c>
    </row>
    <row r="146">
      <c r="A146" s="11" t="n"/>
      <c r="B146" s="12">
        <f>IF($S146="","",IFERROR(MATCH($S146,IMPOSTAZIONI!$F$5:$F$12,0),9)&amp;" · "&amp;$S146)</f>
        <v/>
      </c>
      <c r="C146" s="13" t="n"/>
      <c r="D146" s="14" t="n"/>
      <c r="E146" s="11" t="n"/>
      <c r="F146" s="15">
        <f>IF($A146="","",IF(LEN(IF(AND($C146&lt;&gt;"",$C146=TODAY())," · oggi in centro","")&amp;IF(AND($C146&lt;&gt;"",$C146&gt;=TODAY(),N($D146)+1&gt;=IMPOSTAZIONI!$C$5)," · ultima del ciclo, proponi il mantenimento","")&amp;IF(AND($C146&lt;&gt;"",$C146&gt;=TODAY(),$I146&lt;&gt;"",$C146-$I146&lt;IMPOSTAZIONI!$C$6)," · rientro anticipato, meno di "&amp;IMPOSTAZIONI!$C$6&amp;" giorni","")&amp;IF(AND($C146&lt;&gt;"",$C146&gt;=TODAY(),$I146&lt;&gt;"",$C146-$I146&gt;IMPOSTAZIONI!$C$7)," · rientro oltre "&amp;IMPOSTAZIONI!$C$7&amp;" giorni",""))=0,"",MID(IF(AND($C146&lt;&gt;"",$C146=TODAY())," · oggi in centro","")&amp;IF(AND($C146&lt;&gt;"",$C146&gt;=TODAY(),N($D146)+1&gt;=IMPOSTAZIONI!$C$5)," · ultima del ciclo, proponi il mantenimento","")&amp;IF(AND($C146&lt;&gt;"",$C146&gt;=TODAY(),$I146&lt;&gt;"",$C146-$I146&lt;IMPOSTAZIONI!$C$6)," · rientro anticipato, meno di "&amp;IMPOSTAZIONI!$C$6&amp;" giorni","")&amp;IF(AND($C146&lt;&gt;"",$C146&gt;=TODAY(),$I146&lt;&gt;"",$C146-$I146&gt;IMPOSTAZIONI!$C$7)," · rientro oltre "&amp;IMPOSTAZIONI!$C$7&amp;" giorni",""),4,300)))</f>
        <v/>
      </c>
      <c r="G146" s="16" t="n"/>
      <c r="H146" s="11" t="n"/>
      <c r="I146" s="13" t="n"/>
      <c r="J146" s="17">
        <f>IF($I146="","",TODAY()-$I146)</f>
        <v/>
      </c>
      <c r="K146" s="17">
        <f>IF($C146="","",$C146-TODAY())</f>
        <v/>
      </c>
      <c r="L146" s="15">
        <f>IF($A146="","",N($D146)&amp;"/"&amp;IMPOSTAZIONI!$C$5)</f>
        <v/>
      </c>
      <c r="M146" s="15">
        <f>IF($S146="","",IF($S146="RECUPERA CON INCENTIVO",INCENTIVI!$C$7,IF($S146="RICHIAMO MANTENIMENTO",INCENTIVI!$C$6,IF(OR($S146="FUORI FINESTRA",$S146="ULTIMA SEDUTA"),INCENTIVI!$C$5,""))))</f>
        <v/>
      </c>
      <c r="N146" s="18" t="n"/>
      <c r="O146" s="19">
        <f>IF($A146="","",N($D146)*N($N146))</f>
        <v/>
      </c>
      <c r="P146" s="19">
        <f>IF($A146="","",MAX(0,(IMPOSTAZIONI!$C$5-N($D146))*N($N146)))</f>
        <v/>
      </c>
      <c r="Q146" s="13" t="n"/>
      <c r="R146" s="11" t="n"/>
      <c r="S146" s="15">
        <f>IF($A146="","",IF(AND($C146&lt;&gt;"",$C146&lt;TODAY(),OR($I146="",$I146&lt;$C146)),"APPUNTAMENTO SALTATO",IF(AND($C146&lt;&gt;"",$C146-TODAY()=1),"CONFERMA DOMANI",IF(AND($C146&lt;&gt;"",$C146-TODAY()=IMPOSTAZIONI!$C$8),"CHIAMA PER CONFERMA",IF(AND($C146&lt;&gt;"",$C146&gt;=TODAY()),"",IF($E146="Sospesa","",IF($E146="Persa","RECUPERA CON INCENTIVO",IF(AND($I146&lt;&gt;"",TODAY()&gt;=EDATE($I146,IMPOSTAZIONI!$C$10)),"RECUPERA CON INCENTIVO",IF($E146="Mantenimento",IF(AND($I146&lt;&gt;"",TODAY()-$I146&gt;=IMPOSTAZIONI!$C$9),"RICHIAMO MANTENIMENTO",""),IF($E146="In ciclo",IF(N($D146)&gt;=IMPOSTAZIONI!$C$5,"ULTIMA SEDUTA",IF(AND($I146&lt;&gt;"",TODAY()-$I146&gt;IMPOSTAZIONI!$C$7),"FUORI FINESTRA","PRENDI APPUNTAMENTO")),IF($E146="Da contattare","PRENDI APPUNTAMENTO","")))))))))))</f>
        <v/>
      </c>
      <c r="T146" s="17">
        <f>IF($S146="","",IFERROR(MATCH($S146,IMPOSTAZIONI!$F$5:$F$12,0),9)*100000000+(9999-MIN(9999,ROUND(N($O146)/100,0)))*10000+ROW())</f>
        <v/>
      </c>
    </row>
    <row r="147">
      <c r="A147" s="11" t="n"/>
      <c r="B147" s="12">
        <f>IF($S147="","",IFERROR(MATCH($S147,IMPOSTAZIONI!$F$5:$F$12,0),9)&amp;" · "&amp;$S147)</f>
        <v/>
      </c>
      <c r="C147" s="13" t="n"/>
      <c r="D147" s="14" t="n"/>
      <c r="E147" s="11" t="n"/>
      <c r="F147" s="15">
        <f>IF($A147="","",IF(LEN(IF(AND($C147&lt;&gt;"",$C147=TODAY())," · oggi in centro","")&amp;IF(AND($C147&lt;&gt;"",$C147&gt;=TODAY(),N($D147)+1&gt;=IMPOSTAZIONI!$C$5)," · ultima del ciclo, proponi il mantenimento","")&amp;IF(AND($C147&lt;&gt;"",$C147&gt;=TODAY(),$I147&lt;&gt;"",$C147-$I147&lt;IMPOSTAZIONI!$C$6)," · rientro anticipato, meno di "&amp;IMPOSTAZIONI!$C$6&amp;" giorni","")&amp;IF(AND($C147&lt;&gt;"",$C147&gt;=TODAY(),$I147&lt;&gt;"",$C147-$I147&gt;IMPOSTAZIONI!$C$7)," · rientro oltre "&amp;IMPOSTAZIONI!$C$7&amp;" giorni",""))=0,"",MID(IF(AND($C147&lt;&gt;"",$C147=TODAY())," · oggi in centro","")&amp;IF(AND($C147&lt;&gt;"",$C147&gt;=TODAY(),N($D147)+1&gt;=IMPOSTAZIONI!$C$5)," · ultima del ciclo, proponi il mantenimento","")&amp;IF(AND($C147&lt;&gt;"",$C147&gt;=TODAY(),$I147&lt;&gt;"",$C147-$I147&lt;IMPOSTAZIONI!$C$6)," · rientro anticipato, meno di "&amp;IMPOSTAZIONI!$C$6&amp;" giorni","")&amp;IF(AND($C147&lt;&gt;"",$C147&gt;=TODAY(),$I147&lt;&gt;"",$C147-$I147&gt;IMPOSTAZIONI!$C$7)," · rientro oltre "&amp;IMPOSTAZIONI!$C$7&amp;" giorni",""),4,300)))</f>
        <v/>
      </c>
      <c r="G147" s="16" t="n"/>
      <c r="H147" s="11" t="n"/>
      <c r="I147" s="13" t="n"/>
      <c r="J147" s="17">
        <f>IF($I147="","",TODAY()-$I147)</f>
        <v/>
      </c>
      <c r="K147" s="17">
        <f>IF($C147="","",$C147-TODAY())</f>
        <v/>
      </c>
      <c r="L147" s="15">
        <f>IF($A147="","",N($D147)&amp;"/"&amp;IMPOSTAZIONI!$C$5)</f>
        <v/>
      </c>
      <c r="M147" s="15">
        <f>IF($S147="","",IF($S147="RECUPERA CON INCENTIVO",INCENTIVI!$C$7,IF($S147="RICHIAMO MANTENIMENTO",INCENTIVI!$C$6,IF(OR($S147="FUORI FINESTRA",$S147="ULTIMA SEDUTA"),INCENTIVI!$C$5,""))))</f>
        <v/>
      </c>
      <c r="N147" s="18" t="n"/>
      <c r="O147" s="19">
        <f>IF($A147="","",N($D147)*N($N147))</f>
        <v/>
      </c>
      <c r="P147" s="19">
        <f>IF($A147="","",MAX(0,(IMPOSTAZIONI!$C$5-N($D147))*N($N147)))</f>
        <v/>
      </c>
      <c r="Q147" s="13" t="n"/>
      <c r="R147" s="11" t="n"/>
      <c r="S147" s="15">
        <f>IF($A147="","",IF(AND($C147&lt;&gt;"",$C147&lt;TODAY(),OR($I147="",$I147&lt;$C147)),"APPUNTAMENTO SALTATO",IF(AND($C147&lt;&gt;"",$C147-TODAY()=1),"CONFERMA DOMANI",IF(AND($C147&lt;&gt;"",$C147-TODAY()=IMPOSTAZIONI!$C$8),"CHIAMA PER CONFERMA",IF(AND($C147&lt;&gt;"",$C147&gt;=TODAY()),"",IF($E147="Sospesa","",IF($E147="Persa","RECUPERA CON INCENTIVO",IF(AND($I147&lt;&gt;"",TODAY()&gt;=EDATE($I147,IMPOSTAZIONI!$C$10)),"RECUPERA CON INCENTIVO",IF($E147="Mantenimento",IF(AND($I147&lt;&gt;"",TODAY()-$I147&gt;=IMPOSTAZIONI!$C$9),"RICHIAMO MANTENIMENTO",""),IF($E147="In ciclo",IF(N($D147)&gt;=IMPOSTAZIONI!$C$5,"ULTIMA SEDUTA",IF(AND($I147&lt;&gt;"",TODAY()-$I147&gt;IMPOSTAZIONI!$C$7),"FUORI FINESTRA","PRENDI APPUNTAMENTO")),IF($E147="Da contattare","PRENDI APPUNTAMENTO","")))))))))))</f>
        <v/>
      </c>
      <c r="T147" s="17">
        <f>IF($S147="","",IFERROR(MATCH($S147,IMPOSTAZIONI!$F$5:$F$12,0),9)*100000000+(9999-MIN(9999,ROUND(N($O147)/100,0)))*10000+ROW())</f>
        <v/>
      </c>
    </row>
    <row r="148">
      <c r="A148" s="11" t="n"/>
      <c r="B148" s="12">
        <f>IF($S148="","",IFERROR(MATCH($S148,IMPOSTAZIONI!$F$5:$F$12,0),9)&amp;" · "&amp;$S148)</f>
        <v/>
      </c>
      <c r="C148" s="13" t="n"/>
      <c r="D148" s="14" t="n"/>
      <c r="E148" s="11" t="n"/>
      <c r="F148" s="15">
        <f>IF($A148="","",IF(LEN(IF(AND($C148&lt;&gt;"",$C148=TODAY())," · oggi in centro","")&amp;IF(AND($C148&lt;&gt;"",$C148&gt;=TODAY(),N($D148)+1&gt;=IMPOSTAZIONI!$C$5)," · ultima del ciclo, proponi il mantenimento","")&amp;IF(AND($C148&lt;&gt;"",$C148&gt;=TODAY(),$I148&lt;&gt;"",$C148-$I148&lt;IMPOSTAZIONI!$C$6)," · rientro anticipato, meno di "&amp;IMPOSTAZIONI!$C$6&amp;" giorni","")&amp;IF(AND($C148&lt;&gt;"",$C148&gt;=TODAY(),$I148&lt;&gt;"",$C148-$I148&gt;IMPOSTAZIONI!$C$7)," · rientro oltre "&amp;IMPOSTAZIONI!$C$7&amp;" giorni",""))=0,"",MID(IF(AND($C148&lt;&gt;"",$C148=TODAY())," · oggi in centro","")&amp;IF(AND($C148&lt;&gt;"",$C148&gt;=TODAY(),N($D148)+1&gt;=IMPOSTAZIONI!$C$5)," · ultima del ciclo, proponi il mantenimento","")&amp;IF(AND($C148&lt;&gt;"",$C148&gt;=TODAY(),$I148&lt;&gt;"",$C148-$I148&lt;IMPOSTAZIONI!$C$6)," · rientro anticipato, meno di "&amp;IMPOSTAZIONI!$C$6&amp;" giorni","")&amp;IF(AND($C148&lt;&gt;"",$C148&gt;=TODAY(),$I148&lt;&gt;"",$C148-$I148&gt;IMPOSTAZIONI!$C$7)," · rientro oltre "&amp;IMPOSTAZIONI!$C$7&amp;" giorni",""),4,300)))</f>
        <v/>
      </c>
      <c r="G148" s="16" t="n"/>
      <c r="H148" s="11" t="n"/>
      <c r="I148" s="13" t="n"/>
      <c r="J148" s="17">
        <f>IF($I148="","",TODAY()-$I148)</f>
        <v/>
      </c>
      <c r="K148" s="17">
        <f>IF($C148="","",$C148-TODAY())</f>
        <v/>
      </c>
      <c r="L148" s="15">
        <f>IF($A148="","",N($D148)&amp;"/"&amp;IMPOSTAZIONI!$C$5)</f>
        <v/>
      </c>
      <c r="M148" s="15">
        <f>IF($S148="","",IF($S148="RECUPERA CON INCENTIVO",INCENTIVI!$C$7,IF($S148="RICHIAMO MANTENIMENTO",INCENTIVI!$C$6,IF(OR($S148="FUORI FINESTRA",$S148="ULTIMA SEDUTA"),INCENTIVI!$C$5,""))))</f>
        <v/>
      </c>
      <c r="N148" s="18" t="n"/>
      <c r="O148" s="19">
        <f>IF($A148="","",N($D148)*N($N148))</f>
        <v/>
      </c>
      <c r="P148" s="19">
        <f>IF($A148="","",MAX(0,(IMPOSTAZIONI!$C$5-N($D148))*N($N148)))</f>
        <v/>
      </c>
      <c r="Q148" s="13" t="n"/>
      <c r="R148" s="11" t="n"/>
      <c r="S148" s="15">
        <f>IF($A148="","",IF(AND($C148&lt;&gt;"",$C148&lt;TODAY(),OR($I148="",$I148&lt;$C148)),"APPUNTAMENTO SALTATO",IF(AND($C148&lt;&gt;"",$C148-TODAY()=1),"CONFERMA DOMANI",IF(AND($C148&lt;&gt;"",$C148-TODAY()=IMPOSTAZIONI!$C$8),"CHIAMA PER CONFERMA",IF(AND($C148&lt;&gt;"",$C148&gt;=TODAY()),"",IF($E148="Sospesa","",IF($E148="Persa","RECUPERA CON INCENTIVO",IF(AND($I148&lt;&gt;"",TODAY()&gt;=EDATE($I148,IMPOSTAZIONI!$C$10)),"RECUPERA CON INCENTIVO",IF($E148="Mantenimento",IF(AND($I148&lt;&gt;"",TODAY()-$I148&gt;=IMPOSTAZIONI!$C$9),"RICHIAMO MANTENIMENTO",""),IF($E148="In ciclo",IF(N($D148)&gt;=IMPOSTAZIONI!$C$5,"ULTIMA SEDUTA",IF(AND($I148&lt;&gt;"",TODAY()-$I148&gt;IMPOSTAZIONI!$C$7),"FUORI FINESTRA","PRENDI APPUNTAMENTO")),IF($E148="Da contattare","PRENDI APPUNTAMENTO","")))))))))))</f>
        <v/>
      </c>
      <c r="T148" s="17">
        <f>IF($S148="","",IFERROR(MATCH($S148,IMPOSTAZIONI!$F$5:$F$12,0),9)*100000000+(9999-MIN(9999,ROUND(N($O148)/100,0)))*10000+ROW())</f>
        <v/>
      </c>
    </row>
    <row r="149">
      <c r="A149" s="11" t="n"/>
      <c r="B149" s="12">
        <f>IF($S149="","",IFERROR(MATCH($S149,IMPOSTAZIONI!$F$5:$F$12,0),9)&amp;" · "&amp;$S149)</f>
        <v/>
      </c>
      <c r="C149" s="13" t="n"/>
      <c r="D149" s="14" t="n"/>
      <c r="E149" s="11" t="n"/>
      <c r="F149" s="15">
        <f>IF($A149="","",IF(LEN(IF(AND($C149&lt;&gt;"",$C149=TODAY())," · oggi in centro","")&amp;IF(AND($C149&lt;&gt;"",$C149&gt;=TODAY(),N($D149)+1&gt;=IMPOSTAZIONI!$C$5)," · ultima del ciclo, proponi il mantenimento","")&amp;IF(AND($C149&lt;&gt;"",$C149&gt;=TODAY(),$I149&lt;&gt;"",$C149-$I149&lt;IMPOSTAZIONI!$C$6)," · rientro anticipato, meno di "&amp;IMPOSTAZIONI!$C$6&amp;" giorni","")&amp;IF(AND($C149&lt;&gt;"",$C149&gt;=TODAY(),$I149&lt;&gt;"",$C149-$I149&gt;IMPOSTAZIONI!$C$7)," · rientro oltre "&amp;IMPOSTAZIONI!$C$7&amp;" giorni",""))=0,"",MID(IF(AND($C149&lt;&gt;"",$C149=TODAY())," · oggi in centro","")&amp;IF(AND($C149&lt;&gt;"",$C149&gt;=TODAY(),N($D149)+1&gt;=IMPOSTAZIONI!$C$5)," · ultima del ciclo, proponi il mantenimento","")&amp;IF(AND($C149&lt;&gt;"",$C149&gt;=TODAY(),$I149&lt;&gt;"",$C149-$I149&lt;IMPOSTAZIONI!$C$6)," · rientro anticipato, meno di "&amp;IMPOSTAZIONI!$C$6&amp;" giorni","")&amp;IF(AND($C149&lt;&gt;"",$C149&gt;=TODAY(),$I149&lt;&gt;"",$C149-$I149&gt;IMPOSTAZIONI!$C$7)," · rientro oltre "&amp;IMPOSTAZIONI!$C$7&amp;" giorni",""),4,300)))</f>
        <v/>
      </c>
      <c r="G149" s="16" t="n"/>
      <c r="H149" s="11" t="n"/>
      <c r="I149" s="13" t="n"/>
      <c r="J149" s="17">
        <f>IF($I149="","",TODAY()-$I149)</f>
        <v/>
      </c>
      <c r="K149" s="17">
        <f>IF($C149="","",$C149-TODAY())</f>
        <v/>
      </c>
      <c r="L149" s="15">
        <f>IF($A149="","",N($D149)&amp;"/"&amp;IMPOSTAZIONI!$C$5)</f>
        <v/>
      </c>
      <c r="M149" s="15">
        <f>IF($S149="","",IF($S149="RECUPERA CON INCENTIVO",INCENTIVI!$C$7,IF($S149="RICHIAMO MANTENIMENTO",INCENTIVI!$C$6,IF(OR($S149="FUORI FINESTRA",$S149="ULTIMA SEDUTA"),INCENTIVI!$C$5,""))))</f>
        <v/>
      </c>
      <c r="N149" s="18" t="n"/>
      <c r="O149" s="19">
        <f>IF($A149="","",N($D149)*N($N149))</f>
        <v/>
      </c>
      <c r="P149" s="19">
        <f>IF($A149="","",MAX(0,(IMPOSTAZIONI!$C$5-N($D149))*N($N149)))</f>
        <v/>
      </c>
      <c r="Q149" s="13" t="n"/>
      <c r="R149" s="11" t="n"/>
      <c r="S149" s="15">
        <f>IF($A149="","",IF(AND($C149&lt;&gt;"",$C149&lt;TODAY(),OR($I149="",$I149&lt;$C149)),"APPUNTAMENTO SALTATO",IF(AND($C149&lt;&gt;"",$C149-TODAY()=1),"CONFERMA DOMANI",IF(AND($C149&lt;&gt;"",$C149-TODAY()=IMPOSTAZIONI!$C$8),"CHIAMA PER CONFERMA",IF(AND($C149&lt;&gt;"",$C149&gt;=TODAY()),"",IF($E149="Sospesa","",IF($E149="Persa","RECUPERA CON INCENTIVO",IF(AND($I149&lt;&gt;"",TODAY()&gt;=EDATE($I149,IMPOSTAZIONI!$C$10)),"RECUPERA CON INCENTIVO",IF($E149="Mantenimento",IF(AND($I149&lt;&gt;"",TODAY()-$I149&gt;=IMPOSTAZIONI!$C$9),"RICHIAMO MANTENIMENTO",""),IF($E149="In ciclo",IF(N($D149)&gt;=IMPOSTAZIONI!$C$5,"ULTIMA SEDUTA",IF(AND($I149&lt;&gt;"",TODAY()-$I149&gt;IMPOSTAZIONI!$C$7),"FUORI FINESTRA","PRENDI APPUNTAMENTO")),IF($E149="Da contattare","PRENDI APPUNTAMENTO","")))))))))))</f>
        <v/>
      </c>
      <c r="T149" s="17">
        <f>IF($S149="","",IFERROR(MATCH($S149,IMPOSTAZIONI!$F$5:$F$12,0),9)*100000000+(9999-MIN(9999,ROUND(N($O149)/100,0)))*10000+ROW())</f>
        <v/>
      </c>
    </row>
    <row r="150">
      <c r="A150" s="11" t="n"/>
      <c r="B150" s="12">
        <f>IF($S150="","",IFERROR(MATCH($S150,IMPOSTAZIONI!$F$5:$F$12,0),9)&amp;" · "&amp;$S150)</f>
        <v/>
      </c>
      <c r="C150" s="13" t="n"/>
      <c r="D150" s="14" t="n"/>
      <c r="E150" s="11" t="n"/>
      <c r="F150" s="15">
        <f>IF($A150="","",IF(LEN(IF(AND($C150&lt;&gt;"",$C150=TODAY())," · oggi in centro","")&amp;IF(AND($C150&lt;&gt;"",$C150&gt;=TODAY(),N($D150)+1&gt;=IMPOSTAZIONI!$C$5)," · ultima del ciclo, proponi il mantenimento","")&amp;IF(AND($C150&lt;&gt;"",$C150&gt;=TODAY(),$I150&lt;&gt;"",$C150-$I150&lt;IMPOSTAZIONI!$C$6)," · rientro anticipato, meno di "&amp;IMPOSTAZIONI!$C$6&amp;" giorni","")&amp;IF(AND($C150&lt;&gt;"",$C150&gt;=TODAY(),$I150&lt;&gt;"",$C150-$I150&gt;IMPOSTAZIONI!$C$7)," · rientro oltre "&amp;IMPOSTAZIONI!$C$7&amp;" giorni",""))=0,"",MID(IF(AND($C150&lt;&gt;"",$C150=TODAY())," · oggi in centro","")&amp;IF(AND($C150&lt;&gt;"",$C150&gt;=TODAY(),N($D150)+1&gt;=IMPOSTAZIONI!$C$5)," · ultima del ciclo, proponi il mantenimento","")&amp;IF(AND($C150&lt;&gt;"",$C150&gt;=TODAY(),$I150&lt;&gt;"",$C150-$I150&lt;IMPOSTAZIONI!$C$6)," · rientro anticipato, meno di "&amp;IMPOSTAZIONI!$C$6&amp;" giorni","")&amp;IF(AND($C150&lt;&gt;"",$C150&gt;=TODAY(),$I150&lt;&gt;"",$C150-$I150&gt;IMPOSTAZIONI!$C$7)," · rientro oltre "&amp;IMPOSTAZIONI!$C$7&amp;" giorni",""),4,300)))</f>
        <v/>
      </c>
      <c r="G150" s="16" t="n"/>
      <c r="H150" s="11" t="n"/>
      <c r="I150" s="13" t="n"/>
      <c r="J150" s="17">
        <f>IF($I150="","",TODAY()-$I150)</f>
        <v/>
      </c>
      <c r="K150" s="17">
        <f>IF($C150="","",$C150-TODAY())</f>
        <v/>
      </c>
      <c r="L150" s="15">
        <f>IF($A150="","",N($D150)&amp;"/"&amp;IMPOSTAZIONI!$C$5)</f>
        <v/>
      </c>
      <c r="M150" s="15">
        <f>IF($S150="","",IF($S150="RECUPERA CON INCENTIVO",INCENTIVI!$C$7,IF($S150="RICHIAMO MANTENIMENTO",INCENTIVI!$C$6,IF(OR($S150="FUORI FINESTRA",$S150="ULTIMA SEDUTA"),INCENTIVI!$C$5,""))))</f>
        <v/>
      </c>
      <c r="N150" s="18" t="n"/>
      <c r="O150" s="19">
        <f>IF($A150="","",N($D150)*N($N150))</f>
        <v/>
      </c>
      <c r="P150" s="19">
        <f>IF($A150="","",MAX(0,(IMPOSTAZIONI!$C$5-N($D150))*N($N150)))</f>
        <v/>
      </c>
      <c r="Q150" s="13" t="n"/>
      <c r="R150" s="11" t="n"/>
      <c r="S150" s="15">
        <f>IF($A150="","",IF(AND($C150&lt;&gt;"",$C150&lt;TODAY(),OR($I150="",$I150&lt;$C150)),"APPUNTAMENTO SALTATO",IF(AND($C150&lt;&gt;"",$C150-TODAY()=1),"CONFERMA DOMANI",IF(AND($C150&lt;&gt;"",$C150-TODAY()=IMPOSTAZIONI!$C$8),"CHIAMA PER CONFERMA",IF(AND($C150&lt;&gt;"",$C150&gt;=TODAY()),"",IF($E150="Sospesa","",IF($E150="Persa","RECUPERA CON INCENTIVO",IF(AND($I150&lt;&gt;"",TODAY()&gt;=EDATE($I150,IMPOSTAZIONI!$C$10)),"RECUPERA CON INCENTIVO",IF($E150="Mantenimento",IF(AND($I150&lt;&gt;"",TODAY()-$I150&gt;=IMPOSTAZIONI!$C$9),"RICHIAMO MANTENIMENTO",""),IF($E150="In ciclo",IF(N($D150)&gt;=IMPOSTAZIONI!$C$5,"ULTIMA SEDUTA",IF(AND($I150&lt;&gt;"",TODAY()-$I150&gt;IMPOSTAZIONI!$C$7),"FUORI FINESTRA","PRENDI APPUNTAMENTO")),IF($E150="Da contattare","PRENDI APPUNTAMENTO","")))))))))))</f>
        <v/>
      </c>
      <c r="T150" s="17">
        <f>IF($S150="","",IFERROR(MATCH($S150,IMPOSTAZIONI!$F$5:$F$12,0),9)*100000000+(9999-MIN(9999,ROUND(N($O150)/100,0)))*10000+ROW())</f>
        <v/>
      </c>
    </row>
    <row r="151">
      <c r="A151" s="11" t="n"/>
      <c r="B151" s="12">
        <f>IF($S151="","",IFERROR(MATCH($S151,IMPOSTAZIONI!$F$5:$F$12,0),9)&amp;" · "&amp;$S151)</f>
        <v/>
      </c>
      <c r="C151" s="13" t="n"/>
      <c r="D151" s="14" t="n"/>
      <c r="E151" s="11" t="n"/>
      <c r="F151" s="15">
        <f>IF($A151="","",IF(LEN(IF(AND($C151&lt;&gt;"",$C151=TODAY())," · oggi in centro","")&amp;IF(AND($C151&lt;&gt;"",$C151&gt;=TODAY(),N($D151)+1&gt;=IMPOSTAZIONI!$C$5)," · ultima del ciclo, proponi il mantenimento","")&amp;IF(AND($C151&lt;&gt;"",$C151&gt;=TODAY(),$I151&lt;&gt;"",$C151-$I151&lt;IMPOSTAZIONI!$C$6)," · rientro anticipato, meno di "&amp;IMPOSTAZIONI!$C$6&amp;" giorni","")&amp;IF(AND($C151&lt;&gt;"",$C151&gt;=TODAY(),$I151&lt;&gt;"",$C151-$I151&gt;IMPOSTAZIONI!$C$7)," · rientro oltre "&amp;IMPOSTAZIONI!$C$7&amp;" giorni",""))=0,"",MID(IF(AND($C151&lt;&gt;"",$C151=TODAY())," · oggi in centro","")&amp;IF(AND($C151&lt;&gt;"",$C151&gt;=TODAY(),N($D151)+1&gt;=IMPOSTAZIONI!$C$5)," · ultima del ciclo, proponi il mantenimento","")&amp;IF(AND($C151&lt;&gt;"",$C151&gt;=TODAY(),$I151&lt;&gt;"",$C151-$I151&lt;IMPOSTAZIONI!$C$6)," · rientro anticipato, meno di "&amp;IMPOSTAZIONI!$C$6&amp;" giorni","")&amp;IF(AND($C151&lt;&gt;"",$C151&gt;=TODAY(),$I151&lt;&gt;"",$C151-$I151&gt;IMPOSTAZIONI!$C$7)," · rientro oltre "&amp;IMPOSTAZIONI!$C$7&amp;" giorni",""),4,300)))</f>
        <v/>
      </c>
      <c r="G151" s="16" t="n"/>
      <c r="H151" s="11" t="n"/>
      <c r="I151" s="13" t="n"/>
      <c r="J151" s="17">
        <f>IF($I151="","",TODAY()-$I151)</f>
        <v/>
      </c>
      <c r="K151" s="17">
        <f>IF($C151="","",$C151-TODAY())</f>
        <v/>
      </c>
      <c r="L151" s="15">
        <f>IF($A151="","",N($D151)&amp;"/"&amp;IMPOSTAZIONI!$C$5)</f>
        <v/>
      </c>
      <c r="M151" s="15">
        <f>IF($S151="","",IF($S151="RECUPERA CON INCENTIVO",INCENTIVI!$C$7,IF($S151="RICHIAMO MANTENIMENTO",INCENTIVI!$C$6,IF(OR($S151="FUORI FINESTRA",$S151="ULTIMA SEDUTA"),INCENTIVI!$C$5,""))))</f>
        <v/>
      </c>
      <c r="N151" s="18" t="n"/>
      <c r="O151" s="19">
        <f>IF($A151="","",N($D151)*N($N151))</f>
        <v/>
      </c>
      <c r="P151" s="19">
        <f>IF($A151="","",MAX(0,(IMPOSTAZIONI!$C$5-N($D151))*N($N151)))</f>
        <v/>
      </c>
      <c r="Q151" s="13" t="n"/>
      <c r="R151" s="11" t="n"/>
      <c r="S151" s="15">
        <f>IF($A151="","",IF(AND($C151&lt;&gt;"",$C151&lt;TODAY(),OR($I151="",$I151&lt;$C151)),"APPUNTAMENTO SALTATO",IF(AND($C151&lt;&gt;"",$C151-TODAY()=1),"CONFERMA DOMANI",IF(AND($C151&lt;&gt;"",$C151-TODAY()=IMPOSTAZIONI!$C$8),"CHIAMA PER CONFERMA",IF(AND($C151&lt;&gt;"",$C151&gt;=TODAY()),"",IF($E151="Sospesa","",IF($E151="Persa","RECUPERA CON INCENTIVO",IF(AND($I151&lt;&gt;"",TODAY()&gt;=EDATE($I151,IMPOSTAZIONI!$C$10)),"RECUPERA CON INCENTIVO",IF($E151="Mantenimento",IF(AND($I151&lt;&gt;"",TODAY()-$I151&gt;=IMPOSTAZIONI!$C$9),"RICHIAMO MANTENIMENTO",""),IF($E151="In ciclo",IF(N($D151)&gt;=IMPOSTAZIONI!$C$5,"ULTIMA SEDUTA",IF(AND($I151&lt;&gt;"",TODAY()-$I151&gt;IMPOSTAZIONI!$C$7),"FUORI FINESTRA","PRENDI APPUNTAMENTO")),IF($E151="Da contattare","PRENDI APPUNTAMENTO","")))))))))))</f>
        <v/>
      </c>
      <c r="T151" s="17">
        <f>IF($S151="","",IFERROR(MATCH($S151,IMPOSTAZIONI!$F$5:$F$12,0),9)*100000000+(9999-MIN(9999,ROUND(N($O151)/100,0)))*10000+ROW())</f>
        <v/>
      </c>
    </row>
    <row r="152">
      <c r="A152" s="11" t="n"/>
      <c r="B152" s="12">
        <f>IF($S152="","",IFERROR(MATCH($S152,IMPOSTAZIONI!$F$5:$F$12,0),9)&amp;" · "&amp;$S152)</f>
        <v/>
      </c>
      <c r="C152" s="13" t="n"/>
      <c r="D152" s="14" t="n"/>
      <c r="E152" s="11" t="n"/>
      <c r="F152" s="15">
        <f>IF($A152="","",IF(LEN(IF(AND($C152&lt;&gt;"",$C152=TODAY())," · oggi in centro","")&amp;IF(AND($C152&lt;&gt;"",$C152&gt;=TODAY(),N($D152)+1&gt;=IMPOSTAZIONI!$C$5)," · ultima del ciclo, proponi il mantenimento","")&amp;IF(AND($C152&lt;&gt;"",$C152&gt;=TODAY(),$I152&lt;&gt;"",$C152-$I152&lt;IMPOSTAZIONI!$C$6)," · rientro anticipato, meno di "&amp;IMPOSTAZIONI!$C$6&amp;" giorni","")&amp;IF(AND($C152&lt;&gt;"",$C152&gt;=TODAY(),$I152&lt;&gt;"",$C152-$I152&gt;IMPOSTAZIONI!$C$7)," · rientro oltre "&amp;IMPOSTAZIONI!$C$7&amp;" giorni",""))=0,"",MID(IF(AND($C152&lt;&gt;"",$C152=TODAY())," · oggi in centro","")&amp;IF(AND($C152&lt;&gt;"",$C152&gt;=TODAY(),N($D152)+1&gt;=IMPOSTAZIONI!$C$5)," · ultima del ciclo, proponi il mantenimento","")&amp;IF(AND($C152&lt;&gt;"",$C152&gt;=TODAY(),$I152&lt;&gt;"",$C152-$I152&lt;IMPOSTAZIONI!$C$6)," · rientro anticipato, meno di "&amp;IMPOSTAZIONI!$C$6&amp;" giorni","")&amp;IF(AND($C152&lt;&gt;"",$C152&gt;=TODAY(),$I152&lt;&gt;"",$C152-$I152&gt;IMPOSTAZIONI!$C$7)," · rientro oltre "&amp;IMPOSTAZIONI!$C$7&amp;" giorni",""),4,300)))</f>
        <v/>
      </c>
      <c r="G152" s="16" t="n"/>
      <c r="H152" s="11" t="n"/>
      <c r="I152" s="13" t="n"/>
      <c r="J152" s="17">
        <f>IF($I152="","",TODAY()-$I152)</f>
        <v/>
      </c>
      <c r="K152" s="17">
        <f>IF($C152="","",$C152-TODAY())</f>
        <v/>
      </c>
      <c r="L152" s="15">
        <f>IF($A152="","",N($D152)&amp;"/"&amp;IMPOSTAZIONI!$C$5)</f>
        <v/>
      </c>
      <c r="M152" s="15">
        <f>IF($S152="","",IF($S152="RECUPERA CON INCENTIVO",INCENTIVI!$C$7,IF($S152="RICHIAMO MANTENIMENTO",INCENTIVI!$C$6,IF(OR($S152="FUORI FINESTRA",$S152="ULTIMA SEDUTA"),INCENTIVI!$C$5,""))))</f>
        <v/>
      </c>
      <c r="N152" s="18" t="n"/>
      <c r="O152" s="19">
        <f>IF($A152="","",N($D152)*N($N152))</f>
        <v/>
      </c>
      <c r="P152" s="19">
        <f>IF($A152="","",MAX(0,(IMPOSTAZIONI!$C$5-N($D152))*N($N152)))</f>
        <v/>
      </c>
      <c r="Q152" s="13" t="n"/>
      <c r="R152" s="11" t="n"/>
      <c r="S152" s="15">
        <f>IF($A152="","",IF(AND($C152&lt;&gt;"",$C152&lt;TODAY(),OR($I152="",$I152&lt;$C152)),"APPUNTAMENTO SALTATO",IF(AND($C152&lt;&gt;"",$C152-TODAY()=1),"CONFERMA DOMANI",IF(AND($C152&lt;&gt;"",$C152-TODAY()=IMPOSTAZIONI!$C$8),"CHIAMA PER CONFERMA",IF(AND($C152&lt;&gt;"",$C152&gt;=TODAY()),"",IF($E152="Sospesa","",IF($E152="Persa","RECUPERA CON INCENTIVO",IF(AND($I152&lt;&gt;"",TODAY()&gt;=EDATE($I152,IMPOSTAZIONI!$C$10)),"RECUPERA CON INCENTIVO",IF($E152="Mantenimento",IF(AND($I152&lt;&gt;"",TODAY()-$I152&gt;=IMPOSTAZIONI!$C$9),"RICHIAMO MANTENIMENTO",""),IF($E152="In ciclo",IF(N($D152)&gt;=IMPOSTAZIONI!$C$5,"ULTIMA SEDUTA",IF(AND($I152&lt;&gt;"",TODAY()-$I152&gt;IMPOSTAZIONI!$C$7),"FUORI FINESTRA","PRENDI APPUNTAMENTO")),IF($E152="Da contattare","PRENDI APPUNTAMENTO","")))))))))))</f>
        <v/>
      </c>
      <c r="T152" s="17">
        <f>IF($S152="","",IFERROR(MATCH($S152,IMPOSTAZIONI!$F$5:$F$12,0),9)*100000000+(9999-MIN(9999,ROUND(N($O152)/100,0)))*10000+ROW())</f>
        <v/>
      </c>
    </row>
    <row r="153">
      <c r="A153" s="11" t="n"/>
      <c r="B153" s="12">
        <f>IF($S153="","",IFERROR(MATCH($S153,IMPOSTAZIONI!$F$5:$F$12,0),9)&amp;" · "&amp;$S153)</f>
        <v/>
      </c>
      <c r="C153" s="13" t="n"/>
      <c r="D153" s="14" t="n"/>
      <c r="E153" s="11" t="n"/>
      <c r="F153" s="15">
        <f>IF($A153="","",IF(LEN(IF(AND($C153&lt;&gt;"",$C153=TODAY())," · oggi in centro","")&amp;IF(AND($C153&lt;&gt;"",$C153&gt;=TODAY(),N($D153)+1&gt;=IMPOSTAZIONI!$C$5)," · ultima del ciclo, proponi il mantenimento","")&amp;IF(AND($C153&lt;&gt;"",$C153&gt;=TODAY(),$I153&lt;&gt;"",$C153-$I153&lt;IMPOSTAZIONI!$C$6)," · rientro anticipato, meno di "&amp;IMPOSTAZIONI!$C$6&amp;" giorni","")&amp;IF(AND($C153&lt;&gt;"",$C153&gt;=TODAY(),$I153&lt;&gt;"",$C153-$I153&gt;IMPOSTAZIONI!$C$7)," · rientro oltre "&amp;IMPOSTAZIONI!$C$7&amp;" giorni",""))=0,"",MID(IF(AND($C153&lt;&gt;"",$C153=TODAY())," · oggi in centro","")&amp;IF(AND($C153&lt;&gt;"",$C153&gt;=TODAY(),N($D153)+1&gt;=IMPOSTAZIONI!$C$5)," · ultima del ciclo, proponi il mantenimento","")&amp;IF(AND($C153&lt;&gt;"",$C153&gt;=TODAY(),$I153&lt;&gt;"",$C153-$I153&lt;IMPOSTAZIONI!$C$6)," · rientro anticipato, meno di "&amp;IMPOSTAZIONI!$C$6&amp;" giorni","")&amp;IF(AND($C153&lt;&gt;"",$C153&gt;=TODAY(),$I153&lt;&gt;"",$C153-$I153&gt;IMPOSTAZIONI!$C$7)," · rientro oltre "&amp;IMPOSTAZIONI!$C$7&amp;" giorni",""),4,300)))</f>
        <v/>
      </c>
      <c r="G153" s="16" t="n"/>
      <c r="H153" s="11" t="n"/>
      <c r="I153" s="13" t="n"/>
      <c r="J153" s="17">
        <f>IF($I153="","",TODAY()-$I153)</f>
        <v/>
      </c>
      <c r="K153" s="17">
        <f>IF($C153="","",$C153-TODAY())</f>
        <v/>
      </c>
      <c r="L153" s="15">
        <f>IF($A153="","",N($D153)&amp;"/"&amp;IMPOSTAZIONI!$C$5)</f>
        <v/>
      </c>
      <c r="M153" s="15">
        <f>IF($S153="","",IF($S153="RECUPERA CON INCENTIVO",INCENTIVI!$C$7,IF($S153="RICHIAMO MANTENIMENTO",INCENTIVI!$C$6,IF(OR($S153="FUORI FINESTRA",$S153="ULTIMA SEDUTA"),INCENTIVI!$C$5,""))))</f>
        <v/>
      </c>
      <c r="N153" s="18" t="n"/>
      <c r="O153" s="19">
        <f>IF($A153="","",N($D153)*N($N153))</f>
        <v/>
      </c>
      <c r="P153" s="19">
        <f>IF($A153="","",MAX(0,(IMPOSTAZIONI!$C$5-N($D153))*N($N153)))</f>
        <v/>
      </c>
      <c r="Q153" s="13" t="n"/>
      <c r="R153" s="11" t="n"/>
      <c r="S153" s="15">
        <f>IF($A153="","",IF(AND($C153&lt;&gt;"",$C153&lt;TODAY(),OR($I153="",$I153&lt;$C153)),"APPUNTAMENTO SALTATO",IF(AND($C153&lt;&gt;"",$C153-TODAY()=1),"CONFERMA DOMANI",IF(AND($C153&lt;&gt;"",$C153-TODAY()=IMPOSTAZIONI!$C$8),"CHIAMA PER CONFERMA",IF(AND($C153&lt;&gt;"",$C153&gt;=TODAY()),"",IF($E153="Sospesa","",IF($E153="Persa","RECUPERA CON INCENTIVO",IF(AND($I153&lt;&gt;"",TODAY()&gt;=EDATE($I153,IMPOSTAZIONI!$C$10)),"RECUPERA CON INCENTIVO",IF($E153="Mantenimento",IF(AND($I153&lt;&gt;"",TODAY()-$I153&gt;=IMPOSTAZIONI!$C$9),"RICHIAMO MANTENIMENTO",""),IF($E153="In ciclo",IF(N($D153)&gt;=IMPOSTAZIONI!$C$5,"ULTIMA SEDUTA",IF(AND($I153&lt;&gt;"",TODAY()-$I153&gt;IMPOSTAZIONI!$C$7),"FUORI FINESTRA","PRENDI APPUNTAMENTO")),IF($E153="Da contattare","PRENDI APPUNTAMENTO","")))))))))))</f>
        <v/>
      </c>
      <c r="T153" s="17">
        <f>IF($S153="","",IFERROR(MATCH($S153,IMPOSTAZIONI!$F$5:$F$12,0),9)*100000000+(9999-MIN(9999,ROUND(N($O153)/100,0)))*10000+ROW())</f>
        <v/>
      </c>
    </row>
    <row r="154">
      <c r="A154" s="11" t="n"/>
      <c r="B154" s="12">
        <f>IF($S154="","",IFERROR(MATCH($S154,IMPOSTAZIONI!$F$5:$F$12,0),9)&amp;" · "&amp;$S154)</f>
        <v/>
      </c>
      <c r="C154" s="13" t="n"/>
      <c r="D154" s="14" t="n"/>
      <c r="E154" s="11" t="n"/>
      <c r="F154" s="15">
        <f>IF($A154="","",IF(LEN(IF(AND($C154&lt;&gt;"",$C154=TODAY())," · oggi in centro","")&amp;IF(AND($C154&lt;&gt;"",$C154&gt;=TODAY(),N($D154)+1&gt;=IMPOSTAZIONI!$C$5)," · ultima del ciclo, proponi il mantenimento","")&amp;IF(AND($C154&lt;&gt;"",$C154&gt;=TODAY(),$I154&lt;&gt;"",$C154-$I154&lt;IMPOSTAZIONI!$C$6)," · rientro anticipato, meno di "&amp;IMPOSTAZIONI!$C$6&amp;" giorni","")&amp;IF(AND($C154&lt;&gt;"",$C154&gt;=TODAY(),$I154&lt;&gt;"",$C154-$I154&gt;IMPOSTAZIONI!$C$7)," · rientro oltre "&amp;IMPOSTAZIONI!$C$7&amp;" giorni",""))=0,"",MID(IF(AND($C154&lt;&gt;"",$C154=TODAY())," · oggi in centro","")&amp;IF(AND($C154&lt;&gt;"",$C154&gt;=TODAY(),N($D154)+1&gt;=IMPOSTAZIONI!$C$5)," · ultima del ciclo, proponi il mantenimento","")&amp;IF(AND($C154&lt;&gt;"",$C154&gt;=TODAY(),$I154&lt;&gt;"",$C154-$I154&lt;IMPOSTAZIONI!$C$6)," · rientro anticipato, meno di "&amp;IMPOSTAZIONI!$C$6&amp;" giorni","")&amp;IF(AND($C154&lt;&gt;"",$C154&gt;=TODAY(),$I154&lt;&gt;"",$C154-$I154&gt;IMPOSTAZIONI!$C$7)," · rientro oltre "&amp;IMPOSTAZIONI!$C$7&amp;" giorni",""),4,300)))</f>
        <v/>
      </c>
      <c r="G154" s="16" t="n"/>
      <c r="H154" s="11" t="n"/>
      <c r="I154" s="13" t="n"/>
      <c r="J154" s="17">
        <f>IF($I154="","",TODAY()-$I154)</f>
        <v/>
      </c>
      <c r="K154" s="17">
        <f>IF($C154="","",$C154-TODAY())</f>
        <v/>
      </c>
      <c r="L154" s="15">
        <f>IF($A154="","",N($D154)&amp;"/"&amp;IMPOSTAZIONI!$C$5)</f>
        <v/>
      </c>
      <c r="M154" s="15">
        <f>IF($S154="","",IF($S154="RECUPERA CON INCENTIVO",INCENTIVI!$C$7,IF($S154="RICHIAMO MANTENIMENTO",INCENTIVI!$C$6,IF(OR($S154="FUORI FINESTRA",$S154="ULTIMA SEDUTA"),INCENTIVI!$C$5,""))))</f>
        <v/>
      </c>
      <c r="N154" s="18" t="n"/>
      <c r="O154" s="19">
        <f>IF($A154="","",N($D154)*N($N154))</f>
        <v/>
      </c>
      <c r="P154" s="19">
        <f>IF($A154="","",MAX(0,(IMPOSTAZIONI!$C$5-N($D154))*N($N154)))</f>
        <v/>
      </c>
      <c r="Q154" s="13" t="n"/>
      <c r="R154" s="11" t="n"/>
      <c r="S154" s="15">
        <f>IF($A154="","",IF(AND($C154&lt;&gt;"",$C154&lt;TODAY(),OR($I154="",$I154&lt;$C154)),"APPUNTAMENTO SALTATO",IF(AND($C154&lt;&gt;"",$C154-TODAY()=1),"CONFERMA DOMANI",IF(AND($C154&lt;&gt;"",$C154-TODAY()=IMPOSTAZIONI!$C$8),"CHIAMA PER CONFERMA",IF(AND($C154&lt;&gt;"",$C154&gt;=TODAY()),"",IF($E154="Sospesa","",IF($E154="Persa","RECUPERA CON INCENTIVO",IF(AND($I154&lt;&gt;"",TODAY()&gt;=EDATE($I154,IMPOSTAZIONI!$C$10)),"RECUPERA CON INCENTIVO",IF($E154="Mantenimento",IF(AND($I154&lt;&gt;"",TODAY()-$I154&gt;=IMPOSTAZIONI!$C$9),"RICHIAMO MANTENIMENTO",""),IF($E154="In ciclo",IF(N($D154)&gt;=IMPOSTAZIONI!$C$5,"ULTIMA SEDUTA",IF(AND($I154&lt;&gt;"",TODAY()-$I154&gt;IMPOSTAZIONI!$C$7),"FUORI FINESTRA","PRENDI APPUNTAMENTO")),IF($E154="Da contattare","PRENDI APPUNTAMENTO","")))))))))))</f>
        <v/>
      </c>
      <c r="T154" s="17">
        <f>IF($S154="","",IFERROR(MATCH($S154,IMPOSTAZIONI!$F$5:$F$12,0),9)*100000000+(9999-MIN(9999,ROUND(N($O154)/100,0)))*10000+ROW())</f>
        <v/>
      </c>
    </row>
    <row r="155">
      <c r="A155" s="11" t="n"/>
      <c r="B155" s="12">
        <f>IF($S155="","",IFERROR(MATCH($S155,IMPOSTAZIONI!$F$5:$F$12,0),9)&amp;" · "&amp;$S155)</f>
        <v/>
      </c>
      <c r="C155" s="13" t="n"/>
      <c r="D155" s="14" t="n"/>
      <c r="E155" s="11" t="n"/>
      <c r="F155" s="15">
        <f>IF($A155="","",IF(LEN(IF(AND($C155&lt;&gt;"",$C155=TODAY())," · oggi in centro","")&amp;IF(AND($C155&lt;&gt;"",$C155&gt;=TODAY(),N($D155)+1&gt;=IMPOSTAZIONI!$C$5)," · ultima del ciclo, proponi il mantenimento","")&amp;IF(AND($C155&lt;&gt;"",$C155&gt;=TODAY(),$I155&lt;&gt;"",$C155-$I155&lt;IMPOSTAZIONI!$C$6)," · rientro anticipato, meno di "&amp;IMPOSTAZIONI!$C$6&amp;" giorni","")&amp;IF(AND($C155&lt;&gt;"",$C155&gt;=TODAY(),$I155&lt;&gt;"",$C155-$I155&gt;IMPOSTAZIONI!$C$7)," · rientro oltre "&amp;IMPOSTAZIONI!$C$7&amp;" giorni",""))=0,"",MID(IF(AND($C155&lt;&gt;"",$C155=TODAY())," · oggi in centro","")&amp;IF(AND($C155&lt;&gt;"",$C155&gt;=TODAY(),N($D155)+1&gt;=IMPOSTAZIONI!$C$5)," · ultima del ciclo, proponi il mantenimento","")&amp;IF(AND($C155&lt;&gt;"",$C155&gt;=TODAY(),$I155&lt;&gt;"",$C155-$I155&lt;IMPOSTAZIONI!$C$6)," · rientro anticipato, meno di "&amp;IMPOSTAZIONI!$C$6&amp;" giorni","")&amp;IF(AND($C155&lt;&gt;"",$C155&gt;=TODAY(),$I155&lt;&gt;"",$C155-$I155&gt;IMPOSTAZIONI!$C$7)," · rientro oltre "&amp;IMPOSTAZIONI!$C$7&amp;" giorni",""),4,300)))</f>
        <v/>
      </c>
      <c r="G155" s="16" t="n"/>
      <c r="H155" s="11" t="n"/>
      <c r="I155" s="13" t="n"/>
      <c r="J155" s="17">
        <f>IF($I155="","",TODAY()-$I155)</f>
        <v/>
      </c>
      <c r="K155" s="17">
        <f>IF($C155="","",$C155-TODAY())</f>
        <v/>
      </c>
      <c r="L155" s="15">
        <f>IF($A155="","",N($D155)&amp;"/"&amp;IMPOSTAZIONI!$C$5)</f>
        <v/>
      </c>
      <c r="M155" s="15">
        <f>IF($S155="","",IF($S155="RECUPERA CON INCENTIVO",INCENTIVI!$C$7,IF($S155="RICHIAMO MANTENIMENTO",INCENTIVI!$C$6,IF(OR($S155="FUORI FINESTRA",$S155="ULTIMA SEDUTA"),INCENTIVI!$C$5,""))))</f>
        <v/>
      </c>
      <c r="N155" s="18" t="n"/>
      <c r="O155" s="19">
        <f>IF($A155="","",N($D155)*N($N155))</f>
        <v/>
      </c>
      <c r="P155" s="19">
        <f>IF($A155="","",MAX(0,(IMPOSTAZIONI!$C$5-N($D155))*N($N155)))</f>
        <v/>
      </c>
      <c r="Q155" s="13" t="n"/>
      <c r="R155" s="11" t="n"/>
      <c r="S155" s="15">
        <f>IF($A155="","",IF(AND($C155&lt;&gt;"",$C155&lt;TODAY(),OR($I155="",$I155&lt;$C155)),"APPUNTAMENTO SALTATO",IF(AND($C155&lt;&gt;"",$C155-TODAY()=1),"CONFERMA DOMANI",IF(AND($C155&lt;&gt;"",$C155-TODAY()=IMPOSTAZIONI!$C$8),"CHIAMA PER CONFERMA",IF(AND($C155&lt;&gt;"",$C155&gt;=TODAY()),"",IF($E155="Sospesa","",IF($E155="Persa","RECUPERA CON INCENTIVO",IF(AND($I155&lt;&gt;"",TODAY()&gt;=EDATE($I155,IMPOSTAZIONI!$C$10)),"RECUPERA CON INCENTIVO",IF($E155="Mantenimento",IF(AND($I155&lt;&gt;"",TODAY()-$I155&gt;=IMPOSTAZIONI!$C$9),"RICHIAMO MANTENIMENTO",""),IF($E155="In ciclo",IF(N($D155)&gt;=IMPOSTAZIONI!$C$5,"ULTIMA SEDUTA",IF(AND($I155&lt;&gt;"",TODAY()-$I155&gt;IMPOSTAZIONI!$C$7),"FUORI FINESTRA","PRENDI APPUNTAMENTO")),IF($E155="Da contattare","PRENDI APPUNTAMENTO","")))))))))))</f>
        <v/>
      </c>
      <c r="T155" s="17">
        <f>IF($S155="","",IFERROR(MATCH($S155,IMPOSTAZIONI!$F$5:$F$12,0),9)*100000000+(9999-MIN(9999,ROUND(N($O155)/100,0)))*10000+ROW())</f>
        <v/>
      </c>
    </row>
    <row r="156">
      <c r="A156" s="11" t="n"/>
      <c r="B156" s="12">
        <f>IF($S156="","",IFERROR(MATCH($S156,IMPOSTAZIONI!$F$5:$F$12,0),9)&amp;" · "&amp;$S156)</f>
        <v/>
      </c>
      <c r="C156" s="13" t="n"/>
      <c r="D156" s="14" t="n"/>
      <c r="E156" s="11" t="n"/>
      <c r="F156" s="15">
        <f>IF($A156="","",IF(LEN(IF(AND($C156&lt;&gt;"",$C156=TODAY())," · oggi in centro","")&amp;IF(AND($C156&lt;&gt;"",$C156&gt;=TODAY(),N($D156)+1&gt;=IMPOSTAZIONI!$C$5)," · ultima del ciclo, proponi il mantenimento","")&amp;IF(AND($C156&lt;&gt;"",$C156&gt;=TODAY(),$I156&lt;&gt;"",$C156-$I156&lt;IMPOSTAZIONI!$C$6)," · rientro anticipato, meno di "&amp;IMPOSTAZIONI!$C$6&amp;" giorni","")&amp;IF(AND($C156&lt;&gt;"",$C156&gt;=TODAY(),$I156&lt;&gt;"",$C156-$I156&gt;IMPOSTAZIONI!$C$7)," · rientro oltre "&amp;IMPOSTAZIONI!$C$7&amp;" giorni",""))=0,"",MID(IF(AND($C156&lt;&gt;"",$C156=TODAY())," · oggi in centro","")&amp;IF(AND($C156&lt;&gt;"",$C156&gt;=TODAY(),N($D156)+1&gt;=IMPOSTAZIONI!$C$5)," · ultima del ciclo, proponi il mantenimento","")&amp;IF(AND($C156&lt;&gt;"",$C156&gt;=TODAY(),$I156&lt;&gt;"",$C156-$I156&lt;IMPOSTAZIONI!$C$6)," · rientro anticipato, meno di "&amp;IMPOSTAZIONI!$C$6&amp;" giorni","")&amp;IF(AND($C156&lt;&gt;"",$C156&gt;=TODAY(),$I156&lt;&gt;"",$C156-$I156&gt;IMPOSTAZIONI!$C$7)," · rientro oltre "&amp;IMPOSTAZIONI!$C$7&amp;" giorni",""),4,300)))</f>
        <v/>
      </c>
      <c r="G156" s="16" t="n"/>
      <c r="H156" s="11" t="n"/>
      <c r="I156" s="13" t="n"/>
      <c r="J156" s="17">
        <f>IF($I156="","",TODAY()-$I156)</f>
        <v/>
      </c>
      <c r="K156" s="17">
        <f>IF($C156="","",$C156-TODAY())</f>
        <v/>
      </c>
      <c r="L156" s="15">
        <f>IF($A156="","",N($D156)&amp;"/"&amp;IMPOSTAZIONI!$C$5)</f>
        <v/>
      </c>
      <c r="M156" s="15">
        <f>IF($S156="","",IF($S156="RECUPERA CON INCENTIVO",INCENTIVI!$C$7,IF($S156="RICHIAMO MANTENIMENTO",INCENTIVI!$C$6,IF(OR($S156="FUORI FINESTRA",$S156="ULTIMA SEDUTA"),INCENTIVI!$C$5,""))))</f>
        <v/>
      </c>
      <c r="N156" s="18" t="n"/>
      <c r="O156" s="19">
        <f>IF($A156="","",N($D156)*N($N156))</f>
        <v/>
      </c>
      <c r="P156" s="19">
        <f>IF($A156="","",MAX(0,(IMPOSTAZIONI!$C$5-N($D156))*N($N156)))</f>
        <v/>
      </c>
      <c r="Q156" s="13" t="n"/>
      <c r="R156" s="11" t="n"/>
      <c r="S156" s="15">
        <f>IF($A156="","",IF(AND($C156&lt;&gt;"",$C156&lt;TODAY(),OR($I156="",$I156&lt;$C156)),"APPUNTAMENTO SALTATO",IF(AND($C156&lt;&gt;"",$C156-TODAY()=1),"CONFERMA DOMANI",IF(AND($C156&lt;&gt;"",$C156-TODAY()=IMPOSTAZIONI!$C$8),"CHIAMA PER CONFERMA",IF(AND($C156&lt;&gt;"",$C156&gt;=TODAY()),"",IF($E156="Sospesa","",IF($E156="Persa","RECUPERA CON INCENTIVO",IF(AND($I156&lt;&gt;"",TODAY()&gt;=EDATE($I156,IMPOSTAZIONI!$C$10)),"RECUPERA CON INCENTIVO",IF($E156="Mantenimento",IF(AND($I156&lt;&gt;"",TODAY()-$I156&gt;=IMPOSTAZIONI!$C$9),"RICHIAMO MANTENIMENTO",""),IF($E156="In ciclo",IF(N($D156)&gt;=IMPOSTAZIONI!$C$5,"ULTIMA SEDUTA",IF(AND($I156&lt;&gt;"",TODAY()-$I156&gt;IMPOSTAZIONI!$C$7),"FUORI FINESTRA","PRENDI APPUNTAMENTO")),IF($E156="Da contattare","PRENDI APPUNTAMENTO","")))))))))))</f>
        <v/>
      </c>
      <c r="T156" s="17">
        <f>IF($S156="","",IFERROR(MATCH($S156,IMPOSTAZIONI!$F$5:$F$12,0),9)*100000000+(9999-MIN(9999,ROUND(N($O156)/100,0)))*10000+ROW())</f>
        <v/>
      </c>
    </row>
    <row r="157">
      <c r="A157" s="11" t="n"/>
      <c r="B157" s="12">
        <f>IF($S157="","",IFERROR(MATCH($S157,IMPOSTAZIONI!$F$5:$F$12,0),9)&amp;" · "&amp;$S157)</f>
        <v/>
      </c>
      <c r="C157" s="13" t="n"/>
      <c r="D157" s="14" t="n"/>
      <c r="E157" s="11" t="n"/>
      <c r="F157" s="15">
        <f>IF($A157="","",IF(LEN(IF(AND($C157&lt;&gt;"",$C157=TODAY())," · oggi in centro","")&amp;IF(AND($C157&lt;&gt;"",$C157&gt;=TODAY(),N($D157)+1&gt;=IMPOSTAZIONI!$C$5)," · ultima del ciclo, proponi il mantenimento","")&amp;IF(AND($C157&lt;&gt;"",$C157&gt;=TODAY(),$I157&lt;&gt;"",$C157-$I157&lt;IMPOSTAZIONI!$C$6)," · rientro anticipato, meno di "&amp;IMPOSTAZIONI!$C$6&amp;" giorni","")&amp;IF(AND($C157&lt;&gt;"",$C157&gt;=TODAY(),$I157&lt;&gt;"",$C157-$I157&gt;IMPOSTAZIONI!$C$7)," · rientro oltre "&amp;IMPOSTAZIONI!$C$7&amp;" giorni",""))=0,"",MID(IF(AND($C157&lt;&gt;"",$C157=TODAY())," · oggi in centro","")&amp;IF(AND($C157&lt;&gt;"",$C157&gt;=TODAY(),N($D157)+1&gt;=IMPOSTAZIONI!$C$5)," · ultima del ciclo, proponi il mantenimento","")&amp;IF(AND($C157&lt;&gt;"",$C157&gt;=TODAY(),$I157&lt;&gt;"",$C157-$I157&lt;IMPOSTAZIONI!$C$6)," · rientro anticipato, meno di "&amp;IMPOSTAZIONI!$C$6&amp;" giorni","")&amp;IF(AND($C157&lt;&gt;"",$C157&gt;=TODAY(),$I157&lt;&gt;"",$C157-$I157&gt;IMPOSTAZIONI!$C$7)," · rientro oltre "&amp;IMPOSTAZIONI!$C$7&amp;" giorni",""),4,300)))</f>
        <v/>
      </c>
      <c r="G157" s="16" t="n"/>
      <c r="H157" s="11" t="n"/>
      <c r="I157" s="13" t="n"/>
      <c r="J157" s="17">
        <f>IF($I157="","",TODAY()-$I157)</f>
        <v/>
      </c>
      <c r="K157" s="17">
        <f>IF($C157="","",$C157-TODAY())</f>
        <v/>
      </c>
      <c r="L157" s="15">
        <f>IF($A157="","",N($D157)&amp;"/"&amp;IMPOSTAZIONI!$C$5)</f>
        <v/>
      </c>
      <c r="M157" s="15">
        <f>IF($S157="","",IF($S157="RECUPERA CON INCENTIVO",INCENTIVI!$C$7,IF($S157="RICHIAMO MANTENIMENTO",INCENTIVI!$C$6,IF(OR($S157="FUORI FINESTRA",$S157="ULTIMA SEDUTA"),INCENTIVI!$C$5,""))))</f>
        <v/>
      </c>
      <c r="N157" s="18" t="n"/>
      <c r="O157" s="19">
        <f>IF($A157="","",N($D157)*N($N157))</f>
        <v/>
      </c>
      <c r="P157" s="19">
        <f>IF($A157="","",MAX(0,(IMPOSTAZIONI!$C$5-N($D157))*N($N157)))</f>
        <v/>
      </c>
      <c r="Q157" s="13" t="n"/>
      <c r="R157" s="11" t="n"/>
      <c r="S157" s="15">
        <f>IF($A157="","",IF(AND($C157&lt;&gt;"",$C157&lt;TODAY(),OR($I157="",$I157&lt;$C157)),"APPUNTAMENTO SALTATO",IF(AND($C157&lt;&gt;"",$C157-TODAY()=1),"CONFERMA DOMANI",IF(AND($C157&lt;&gt;"",$C157-TODAY()=IMPOSTAZIONI!$C$8),"CHIAMA PER CONFERMA",IF(AND($C157&lt;&gt;"",$C157&gt;=TODAY()),"",IF($E157="Sospesa","",IF($E157="Persa","RECUPERA CON INCENTIVO",IF(AND($I157&lt;&gt;"",TODAY()&gt;=EDATE($I157,IMPOSTAZIONI!$C$10)),"RECUPERA CON INCENTIVO",IF($E157="Mantenimento",IF(AND($I157&lt;&gt;"",TODAY()-$I157&gt;=IMPOSTAZIONI!$C$9),"RICHIAMO MANTENIMENTO",""),IF($E157="In ciclo",IF(N($D157)&gt;=IMPOSTAZIONI!$C$5,"ULTIMA SEDUTA",IF(AND($I157&lt;&gt;"",TODAY()-$I157&gt;IMPOSTAZIONI!$C$7),"FUORI FINESTRA","PRENDI APPUNTAMENTO")),IF($E157="Da contattare","PRENDI APPUNTAMENTO","")))))))))))</f>
        <v/>
      </c>
      <c r="T157" s="17">
        <f>IF($S157="","",IFERROR(MATCH($S157,IMPOSTAZIONI!$F$5:$F$12,0),9)*100000000+(9999-MIN(9999,ROUND(N($O157)/100,0)))*10000+ROW())</f>
        <v/>
      </c>
    </row>
    <row r="158">
      <c r="A158" s="11" t="n"/>
      <c r="B158" s="12">
        <f>IF($S158="","",IFERROR(MATCH($S158,IMPOSTAZIONI!$F$5:$F$12,0),9)&amp;" · "&amp;$S158)</f>
        <v/>
      </c>
      <c r="C158" s="13" t="n"/>
      <c r="D158" s="14" t="n"/>
      <c r="E158" s="11" t="n"/>
      <c r="F158" s="15">
        <f>IF($A158="","",IF(LEN(IF(AND($C158&lt;&gt;"",$C158=TODAY())," · oggi in centro","")&amp;IF(AND($C158&lt;&gt;"",$C158&gt;=TODAY(),N($D158)+1&gt;=IMPOSTAZIONI!$C$5)," · ultima del ciclo, proponi il mantenimento","")&amp;IF(AND($C158&lt;&gt;"",$C158&gt;=TODAY(),$I158&lt;&gt;"",$C158-$I158&lt;IMPOSTAZIONI!$C$6)," · rientro anticipato, meno di "&amp;IMPOSTAZIONI!$C$6&amp;" giorni","")&amp;IF(AND($C158&lt;&gt;"",$C158&gt;=TODAY(),$I158&lt;&gt;"",$C158-$I158&gt;IMPOSTAZIONI!$C$7)," · rientro oltre "&amp;IMPOSTAZIONI!$C$7&amp;" giorni",""))=0,"",MID(IF(AND($C158&lt;&gt;"",$C158=TODAY())," · oggi in centro","")&amp;IF(AND($C158&lt;&gt;"",$C158&gt;=TODAY(),N($D158)+1&gt;=IMPOSTAZIONI!$C$5)," · ultima del ciclo, proponi il mantenimento","")&amp;IF(AND($C158&lt;&gt;"",$C158&gt;=TODAY(),$I158&lt;&gt;"",$C158-$I158&lt;IMPOSTAZIONI!$C$6)," · rientro anticipato, meno di "&amp;IMPOSTAZIONI!$C$6&amp;" giorni","")&amp;IF(AND($C158&lt;&gt;"",$C158&gt;=TODAY(),$I158&lt;&gt;"",$C158-$I158&gt;IMPOSTAZIONI!$C$7)," · rientro oltre "&amp;IMPOSTAZIONI!$C$7&amp;" giorni",""),4,300)))</f>
        <v/>
      </c>
      <c r="G158" s="16" t="n"/>
      <c r="H158" s="11" t="n"/>
      <c r="I158" s="13" t="n"/>
      <c r="J158" s="17">
        <f>IF($I158="","",TODAY()-$I158)</f>
        <v/>
      </c>
      <c r="K158" s="17">
        <f>IF($C158="","",$C158-TODAY())</f>
        <v/>
      </c>
      <c r="L158" s="15">
        <f>IF($A158="","",N($D158)&amp;"/"&amp;IMPOSTAZIONI!$C$5)</f>
        <v/>
      </c>
      <c r="M158" s="15">
        <f>IF($S158="","",IF($S158="RECUPERA CON INCENTIVO",INCENTIVI!$C$7,IF($S158="RICHIAMO MANTENIMENTO",INCENTIVI!$C$6,IF(OR($S158="FUORI FINESTRA",$S158="ULTIMA SEDUTA"),INCENTIVI!$C$5,""))))</f>
        <v/>
      </c>
      <c r="N158" s="18" t="n"/>
      <c r="O158" s="19">
        <f>IF($A158="","",N($D158)*N($N158))</f>
        <v/>
      </c>
      <c r="P158" s="19">
        <f>IF($A158="","",MAX(0,(IMPOSTAZIONI!$C$5-N($D158))*N($N158)))</f>
        <v/>
      </c>
      <c r="Q158" s="13" t="n"/>
      <c r="R158" s="11" t="n"/>
      <c r="S158" s="15">
        <f>IF($A158="","",IF(AND($C158&lt;&gt;"",$C158&lt;TODAY(),OR($I158="",$I158&lt;$C158)),"APPUNTAMENTO SALTATO",IF(AND($C158&lt;&gt;"",$C158-TODAY()=1),"CONFERMA DOMANI",IF(AND($C158&lt;&gt;"",$C158-TODAY()=IMPOSTAZIONI!$C$8),"CHIAMA PER CONFERMA",IF(AND($C158&lt;&gt;"",$C158&gt;=TODAY()),"",IF($E158="Sospesa","",IF($E158="Persa","RECUPERA CON INCENTIVO",IF(AND($I158&lt;&gt;"",TODAY()&gt;=EDATE($I158,IMPOSTAZIONI!$C$10)),"RECUPERA CON INCENTIVO",IF($E158="Mantenimento",IF(AND($I158&lt;&gt;"",TODAY()-$I158&gt;=IMPOSTAZIONI!$C$9),"RICHIAMO MANTENIMENTO",""),IF($E158="In ciclo",IF(N($D158)&gt;=IMPOSTAZIONI!$C$5,"ULTIMA SEDUTA",IF(AND($I158&lt;&gt;"",TODAY()-$I158&gt;IMPOSTAZIONI!$C$7),"FUORI FINESTRA","PRENDI APPUNTAMENTO")),IF($E158="Da contattare","PRENDI APPUNTAMENTO","")))))))))))</f>
        <v/>
      </c>
      <c r="T158" s="17">
        <f>IF($S158="","",IFERROR(MATCH($S158,IMPOSTAZIONI!$F$5:$F$12,0),9)*100000000+(9999-MIN(9999,ROUND(N($O158)/100,0)))*10000+ROW())</f>
        <v/>
      </c>
    </row>
    <row r="159">
      <c r="A159" s="11" t="n"/>
      <c r="B159" s="12">
        <f>IF($S159="","",IFERROR(MATCH($S159,IMPOSTAZIONI!$F$5:$F$12,0),9)&amp;" · "&amp;$S159)</f>
        <v/>
      </c>
      <c r="C159" s="13" t="n"/>
      <c r="D159" s="14" t="n"/>
      <c r="E159" s="11" t="n"/>
      <c r="F159" s="15">
        <f>IF($A159="","",IF(LEN(IF(AND($C159&lt;&gt;"",$C159=TODAY())," · oggi in centro","")&amp;IF(AND($C159&lt;&gt;"",$C159&gt;=TODAY(),N($D159)+1&gt;=IMPOSTAZIONI!$C$5)," · ultima del ciclo, proponi il mantenimento","")&amp;IF(AND($C159&lt;&gt;"",$C159&gt;=TODAY(),$I159&lt;&gt;"",$C159-$I159&lt;IMPOSTAZIONI!$C$6)," · rientro anticipato, meno di "&amp;IMPOSTAZIONI!$C$6&amp;" giorni","")&amp;IF(AND($C159&lt;&gt;"",$C159&gt;=TODAY(),$I159&lt;&gt;"",$C159-$I159&gt;IMPOSTAZIONI!$C$7)," · rientro oltre "&amp;IMPOSTAZIONI!$C$7&amp;" giorni",""))=0,"",MID(IF(AND($C159&lt;&gt;"",$C159=TODAY())," · oggi in centro","")&amp;IF(AND($C159&lt;&gt;"",$C159&gt;=TODAY(),N($D159)+1&gt;=IMPOSTAZIONI!$C$5)," · ultima del ciclo, proponi il mantenimento","")&amp;IF(AND($C159&lt;&gt;"",$C159&gt;=TODAY(),$I159&lt;&gt;"",$C159-$I159&lt;IMPOSTAZIONI!$C$6)," · rientro anticipato, meno di "&amp;IMPOSTAZIONI!$C$6&amp;" giorni","")&amp;IF(AND($C159&lt;&gt;"",$C159&gt;=TODAY(),$I159&lt;&gt;"",$C159-$I159&gt;IMPOSTAZIONI!$C$7)," · rientro oltre "&amp;IMPOSTAZIONI!$C$7&amp;" giorni",""),4,300)))</f>
        <v/>
      </c>
      <c r="G159" s="16" t="n"/>
      <c r="H159" s="11" t="n"/>
      <c r="I159" s="13" t="n"/>
      <c r="J159" s="17">
        <f>IF($I159="","",TODAY()-$I159)</f>
        <v/>
      </c>
      <c r="K159" s="17">
        <f>IF($C159="","",$C159-TODAY())</f>
        <v/>
      </c>
      <c r="L159" s="15">
        <f>IF($A159="","",N($D159)&amp;"/"&amp;IMPOSTAZIONI!$C$5)</f>
        <v/>
      </c>
      <c r="M159" s="15">
        <f>IF($S159="","",IF($S159="RECUPERA CON INCENTIVO",INCENTIVI!$C$7,IF($S159="RICHIAMO MANTENIMENTO",INCENTIVI!$C$6,IF(OR($S159="FUORI FINESTRA",$S159="ULTIMA SEDUTA"),INCENTIVI!$C$5,""))))</f>
        <v/>
      </c>
      <c r="N159" s="18" t="n"/>
      <c r="O159" s="19">
        <f>IF($A159="","",N($D159)*N($N159))</f>
        <v/>
      </c>
      <c r="P159" s="19">
        <f>IF($A159="","",MAX(0,(IMPOSTAZIONI!$C$5-N($D159))*N($N159)))</f>
        <v/>
      </c>
      <c r="Q159" s="13" t="n"/>
      <c r="R159" s="11" t="n"/>
      <c r="S159" s="15">
        <f>IF($A159="","",IF(AND($C159&lt;&gt;"",$C159&lt;TODAY(),OR($I159="",$I159&lt;$C159)),"APPUNTAMENTO SALTATO",IF(AND($C159&lt;&gt;"",$C159-TODAY()=1),"CONFERMA DOMANI",IF(AND($C159&lt;&gt;"",$C159-TODAY()=IMPOSTAZIONI!$C$8),"CHIAMA PER CONFERMA",IF(AND($C159&lt;&gt;"",$C159&gt;=TODAY()),"",IF($E159="Sospesa","",IF($E159="Persa","RECUPERA CON INCENTIVO",IF(AND($I159&lt;&gt;"",TODAY()&gt;=EDATE($I159,IMPOSTAZIONI!$C$10)),"RECUPERA CON INCENTIVO",IF($E159="Mantenimento",IF(AND($I159&lt;&gt;"",TODAY()-$I159&gt;=IMPOSTAZIONI!$C$9),"RICHIAMO MANTENIMENTO",""),IF($E159="In ciclo",IF(N($D159)&gt;=IMPOSTAZIONI!$C$5,"ULTIMA SEDUTA",IF(AND($I159&lt;&gt;"",TODAY()-$I159&gt;IMPOSTAZIONI!$C$7),"FUORI FINESTRA","PRENDI APPUNTAMENTO")),IF($E159="Da contattare","PRENDI APPUNTAMENTO","")))))))))))</f>
        <v/>
      </c>
      <c r="T159" s="17">
        <f>IF($S159="","",IFERROR(MATCH($S159,IMPOSTAZIONI!$F$5:$F$12,0),9)*100000000+(9999-MIN(9999,ROUND(N($O159)/100,0)))*10000+ROW())</f>
        <v/>
      </c>
    </row>
    <row r="160">
      <c r="A160" s="11" t="n"/>
      <c r="B160" s="12">
        <f>IF($S160="","",IFERROR(MATCH($S160,IMPOSTAZIONI!$F$5:$F$12,0),9)&amp;" · "&amp;$S160)</f>
        <v/>
      </c>
      <c r="C160" s="13" t="n"/>
      <c r="D160" s="14" t="n"/>
      <c r="E160" s="11" t="n"/>
      <c r="F160" s="15">
        <f>IF($A160="","",IF(LEN(IF(AND($C160&lt;&gt;"",$C160=TODAY())," · oggi in centro","")&amp;IF(AND($C160&lt;&gt;"",$C160&gt;=TODAY(),N($D160)+1&gt;=IMPOSTAZIONI!$C$5)," · ultima del ciclo, proponi il mantenimento","")&amp;IF(AND($C160&lt;&gt;"",$C160&gt;=TODAY(),$I160&lt;&gt;"",$C160-$I160&lt;IMPOSTAZIONI!$C$6)," · rientro anticipato, meno di "&amp;IMPOSTAZIONI!$C$6&amp;" giorni","")&amp;IF(AND($C160&lt;&gt;"",$C160&gt;=TODAY(),$I160&lt;&gt;"",$C160-$I160&gt;IMPOSTAZIONI!$C$7)," · rientro oltre "&amp;IMPOSTAZIONI!$C$7&amp;" giorni",""))=0,"",MID(IF(AND($C160&lt;&gt;"",$C160=TODAY())," · oggi in centro","")&amp;IF(AND($C160&lt;&gt;"",$C160&gt;=TODAY(),N($D160)+1&gt;=IMPOSTAZIONI!$C$5)," · ultima del ciclo, proponi il mantenimento","")&amp;IF(AND($C160&lt;&gt;"",$C160&gt;=TODAY(),$I160&lt;&gt;"",$C160-$I160&lt;IMPOSTAZIONI!$C$6)," · rientro anticipato, meno di "&amp;IMPOSTAZIONI!$C$6&amp;" giorni","")&amp;IF(AND($C160&lt;&gt;"",$C160&gt;=TODAY(),$I160&lt;&gt;"",$C160-$I160&gt;IMPOSTAZIONI!$C$7)," · rientro oltre "&amp;IMPOSTAZIONI!$C$7&amp;" giorni",""),4,300)))</f>
        <v/>
      </c>
      <c r="G160" s="16" t="n"/>
      <c r="H160" s="11" t="n"/>
      <c r="I160" s="13" t="n"/>
      <c r="J160" s="17">
        <f>IF($I160="","",TODAY()-$I160)</f>
        <v/>
      </c>
      <c r="K160" s="17">
        <f>IF($C160="","",$C160-TODAY())</f>
        <v/>
      </c>
      <c r="L160" s="15">
        <f>IF($A160="","",N($D160)&amp;"/"&amp;IMPOSTAZIONI!$C$5)</f>
        <v/>
      </c>
      <c r="M160" s="15">
        <f>IF($S160="","",IF($S160="RECUPERA CON INCENTIVO",INCENTIVI!$C$7,IF($S160="RICHIAMO MANTENIMENTO",INCENTIVI!$C$6,IF(OR($S160="FUORI FINESTRA",$S160="ULTIMA SEDUTA"),INCENTIVI!$C$5,""))))</f>
        <v/>
      </c>
      <c r="N160" s="18" t="n"/>
      <c r="O160" s="19">
        <f>IF($A160="","",N($D160)*N($N160))</f>
        <v/>
      </c>
      <c r="P160" s="19">
        <f>IF($A160="","",MAX(0,(IMPOSTAZIONI!$C$5-N($D160))*N($N160)))</f>
        <v/>
      </c>
      <c r="Q160" s="13" t="n"/>
      <c r="R160" s="11" t="n"/>
      <c r="S160" s="15">
        <f>IF($A160="","",IF(AND($C160&lt;&gt;"",$C160&lt;TODAY(),OR($I160="",$I160&lt;$C160)),"APPUNTAMENTO SALTATO",IF(AND($C160&lt;&gt;"",$C160-TODAY()=1),"CONFERMA DOMANI",IF(AND($C160&lt;&gt;"",$C160-TODAY()=IMPOSTAZIONI!$C$8),"CHIAMA PER CONFERMA",IF(AND($C160&lt;&gt;"",$C160&gt;=TODAY()),"",IF($E160="Sospesa","",IF($E160="Persa","RECUPERA CON INCENTIVO",IF(AND($I160&lt;&gt;"",TODAY()&gt;=EDATE($I160,IMPOSTAZIONI!$C$10)),"RECUPERA CON INCENTIVO",IF($E160="Mantenimento",IF(AND($I160&lt;&gt;"",TODAY()-$I160&gt;=IMPOSTAZIONI!$C$9),"RICHIAMO MANTENIMENTO",""),IF($E160="In ciclo",IF(N($D160)&gt;=IMPOSTAZIONI!$C$5,"ULTIMA SEDUTA",IF(AND($I160&lt;&gt;"",TODAY()-$I160&gt;IMPOSTAZIONI!$C$7),"FUORI FINESTRA","PRENDI APPUNTAMENTO")),IF($E160="Da contattare","PRENDI APPUNTAMENTO","")))))))))))</f>
        <v/>
      </c>
      <c r="T160" s="17">
        <f>IF($S160="","",IFERROR(MATCH($S160,IMPOSTAZIONI!$F$5:$F$12,0),9)*100000000+(9999-MIN(9999,ROUND(N($O160)/100,0)))*10000+ROW())</f>
        <v/>
      </c>
    </row>
    <row r="161">
      <c r="A161" s="11" t="n"/>
      <c r="B161" s="12">
        <f>IF($S161="","",IFERROR(MATCH($S161,IMPOSTAZIONI!$F$5:$F$12,0),9)&amp;" · "&amp;$S161)</f>
        <v/>
      </c>
      <c r="C161" s="13" t="n"/>
      <c r="D161" s="14" t="n"/>
      <c r="E161" s="11" t="n"/>
      <c r="F161" s="15">
        <f>IF($A161="","",IF(LEN(IF(AND($C161&lt;&gt;"",$C161=TODAY())," · oggi in centro","")&amp;IF(AND($C161&lt;&gt;"",$C161&gt;=TODAY(),N($D161)+1&gt;=IMPOSTAZIONI!$C$5)," · ultima del ciclo, proponi il mantenimento","")&amp;IF(AND($C161&lt;&gt;"",$C161&gt;=TODAY(),$I161&lt;&gt;"",$C161-$I161&lt;IMPOSTAZIONI!$C$6)," · rientro anticipato, meno di "&amp;IMPOSTAZIONI!$C$6&amp;" giorni","")&amp;IF(AND($C161&lt;&gt;"",$C161&gt;=TODAY(),$I161&lt;&gt;"",$C161-$I161&gt;IMPOSTAZIONI!$C$7)," · rientro oltre "&amp;IMPOSTAZIONI!$C$7&amp;" giorni",""))=0,"",MID(IF(AND($C161&lt;&gt;"",$C161=TODAY())," · oggi in centro","")&amp;IF(AND($C161&lt;&gt;"",$C161&gt;=TODAY(),N($D161)+1&gt;=IMPOSTAZIONI!$C$5)," · ultima del ciclo, proponi il mantenimento","")&amp;IF(AND($C161&lt;&gt;"",$C161&gt;=TODAY(),$I161&lt;&gt;"",$C161-$I161&lt;IMPOSTAZIONI!$C$6)," · rientro anticipato, meno di "&amp;IMPOSTAZIONI!$C$6&amp;" giorni","")&amp;IF(AND($C161&lt;&gt;"",$C161&gt;=TODAY(),$I161&lt;&gt;"",$C161-$I161&gt;IMPOSTAZIONI!$C$7)," · rientro oltre "&amp;IMPOSTAZIONI!$C$7&amp;" giorni",""),4,300)))</f>
        <v/>
      </c>
      <c r="G161" s="16" t="n"/>
      <c r="H161" s="11" t="n"/>
      <c r="I161" s="13" t="n"/>
      <c r="J161" s="17">
        <f>IF($I161="","",TODAY()-$I161)</f>
        <v/>
      </c>
      <c r="K161" s="17">
        <f>IF($C161="","",$C161-TODAY())</f>
        <v/>
      </c>
      <c r="L161" s="15">
        <f>IF($A161="","",N($D161)&amp;"/"&amp;IMPOSTAZIONI!$C$5)</f>
        <v/>
      </c>
      <c r="M161" s="15">
        <f>IF($S161="","",IF($S161="RECUPERA CON INCENTIVO",INCENTIVI!$C$7,IF($S161="RICHIAMO MANTENIMENTO",INCENTIVI!$C$6,IF(OR($S161="FUORI FINESTRA",$S161="ULTIMA SEDUTA"),INCENTIVI!$C$5,""))))</f>
        <v/>
      </c>
      <c r="N161" s="18" t="n"/>
      <c r="O161" s="19">
        <f>IF($A161="","",N($D161)*N($N161))</f>
        <v/>
      </c>
      <c r="P161" s="19">
        <f>IF($A161="","",MAX(0,(IMPOSTAZIONI!$C$5-N($D161))*N($N161)))</f>
        <v/>
      </c>
      <c r="Q161" s="13" t="n"/>
      <c r="R161" s="11" t="n"/>
      <c r="S161" s="15">
        <f>IF($A161="","",IF(AND($C161&lt;&gt;"",$C161&lt;TODAY(),OR($I161="",$I161&lt;$C161)),"APPUNTAMENTO SALTATO",IF(AND($C161&lt;&gt;"",$C161-TODAY()=1),"CONFERMA DOMANI",IF(AND($C161&lt;&gt;"",$C161-TODAY()=IMPOSTAZIONI!$C$8),"CHIAMA PER CONFERMA",IF(AND($C161&lt;&gt;"",$C161&gt;=TODAY()),"",IF($E161="Sospesa","",IF($E161="Persa","RECUPERA CON INCENTIVO",IF(AND($I161&lt;&gt;"",TODAY()&gt;=EDATE($I161,IMPOSTAZIONI!$C$10)),"RECUPERA CON INCENTIVO",IF($E161="Mantenimento",IF(AND($I161&lt;&gt;"",TODAY()-$I161&gt;=IMPOSTAZIONI!$C$9),"RICHIAMO MANTENIMENTO",""),IF($E161="In ciclo",IF(N($D161)&gt;=IMPOSTAZIONI!$C$5,"ULTIMA SEDUTA",IF(AND($I161&lt;&gt;"",TODAY()-$I161&gt;IMPOSTAZIONI!$C$7),"FUORI FINESTRA","PRENDI APPUNTAMENTO")),IF($E161="Da contattare","PRENDI APPUNTAMENTO","")))))))))))</f>
        <v/>
      </c>
      <c r="T161" s="17">
        <f>IF($S161="","",IFERROR(MATCH($S161,IMPOSTAZIONI!$F$5:$F$12,0),9)*100000000+(9999-MIN(9999,ROUND(N($O161)/100,0)))*10000+ROW())</f>
        <v/>
      </c>
    </row>
    <row r="162">
      <c r="A162" s="11" t="n"/>
      <c r="B162" s="12">
        <f>IF($S162="","",IFERROR(MATCH($S162,IMPOSTAZIONI!$F$5:$F$12,0),9)&amp;" · "&amp;$S162)</f>
        <v/>
      </c>
      <c r="C162" s="13" t="n"/>
      <c r="D162" s="14" t="n"/>
      <c r="E162" s="11" t="n"/>
      <c r="F162" s="15">
        <f>IF($A162="","",IF(LEN(IF(AND($C162&lt;&gt;"",$C162=TODAY())," · oggi in centro","")&amp;IF(AND($C162&lt;&gt;"",$C162&gt;=TODAY(),N($D162)+1&gt;=IMPOSTAZIONI!$C$5)," · ultima del ciclo, proponi il mantenimento","")&amp;IF(AND($C162&lt;&gt;"",$C162&gt;=TODAY(),$I162&lt;&gt;"",$C162-$I162&lt;IMPOSTAZIONI!$C$6)," · rientro anticipato, meno di "&amp;IMPOSTAZIONI!$C$6&amp;" giorni","")&amp;IF(AND($C162&lt;&gt;"",$C162&gt;=TODAY(),$I162&lt;&gt;"",$C162-$I162&gt;IMPOSTAZIONI!$C$7)," · rientro oltre "&amp;IMPOSTAZIONI!$C$7&amp;" giorni",""))=0,"",MID(IF(AND($C162&lt;&gt;"",$C162=TODAY())," · oggi in centro","")&amp;IF(AND($C162&lt;&gt;"",$C162&gt;=TODAY(),N($D162)+1&gt;=IMPOSTAZIONI!$C$5)," · ultima del ciclo, proponi il mantenimento","")&amp;IF(AND($C162&lt;&gt;"",$C162&gt;=TODAY(),$I162&lt;&gt;"",$C162-$I162&lt;IMPOSTAZIONI!$C$6)," · rientro anticipato, meno di "&amp;IMPOSTAZIONI!$C$6&amp;" giorni","")&amp;IF(AND($C162&lt;&gt;"",$C162&gt;=TODAY(),$I162&lt;&gt;"",$C162-$I162&gt;IMPOSTAZIONI!$C$7)," · rientro oltre "&amp;IMPOSTAZIONI!$C$7&amp;" giorni",""),4,300)))</f>
        <v/>
      </c>
      <c r="G162" s="16" t="n"/>
      <c r="H162" s="11" t="n"/>
      <c r="I162" s="13" t="n"/>
      <c r="J162" s="17">
        <f>IF($I162="","",TODAY()-$I162)</f>
        <v/>
      </c>
      <c r="K162" s="17">
        <f>IF($C162="","",$C162-TODAY())</f>
        <v/>
      </c>
      <c r="L162" s="15">
        <f>IF($A162="","",N($D162)&amp;"/"&amp;IMPOSTAZIONI!$C$5)</f>
        <v/>
      </c>
      <c r="M162" s="15">
        <f>IF($S162="","",IF($S162="RECUPERA CON INCENTIVO",INCENTIVI!$C$7,IF($S162="RICHIAMO MANTENIMENTO",INCENTIVI!$C$6,IF(OR($S162="FUORI FINESTRA",$S162="ULTIMA SEDUTA"),INCENTIVI!$C$5,""))))</f>
        <v/>
      </c>
      <c r="N162" s="18" t="n"/>
      <c r="O162" s="19">
        <f>IF($A162="","",N($D162)*N($N162))</f>
        <v/>
      </c>
      <c r="P162" s="19">
        <f>IF($A162="","",MAX(0,(IMPOSTAZIONI!$C$5-N($D162))*N($N162)))</f>
        <v/>
      </c>
      <c r="Q162" s="13" t="n"/>
      <c r="R162" s="11" t="n"/>
      <c r="S162" s="15">
        <f>IF($A162="","",IF(AND($C162&lt;&gt;"",$C162&lt;TODAY(),OR($I162="",$I162&lt;$C162)),"APPUNTAMENTO SALTATO",IF(AND($C162&lt;&gt;"",$C162-TODAY()=1),"CONFERMA DOMANI",IF(AND($C162&lt;&gt;"",$C162-TODAY()=IMPOSTAZIONI!$C$8),"CHIAMA PER CONFERMA",IF(AND($C162&lt;&gt;"",$C162&gt;=TODAY()),"",IF($E162="Sospesa","",IF($E162="Persa","RECUPERA CON INCENTIVO",IF(AND($I162&lt;&gt;"",TODAY()&gt;=EDATE($I162,IMPOSTAZIONI!$C$10)),"RECUPERA CON INCENTIVO",IF($E162="Mantenimento",IF(AND($I162&lt;&gt;"",TODAY()-$I162&gt;=IMPOSTAZIONI!$C$9),"RICHIAMO MANTENIMENTO",""),IF($E162="In ciclo",IF(N($D162)&gt;=IMPOSTAZIONI!$C$5,"ULTIMA SEDUTA",IF(AND($I162&lt;&gt;"",TODAY()-$I162&gt;IMPOSTAZIONI!$C$7),"FUORI FINESTRA","PRENDI APPUNTAMENTO")),IF($E162="Da contattare","PRENDI APPUNTAMENTO","")))))))))))</f>
        <v/>
      </c>
      <c r="T162" s="17">
        <f>IF($S162="","",IFERROR(MATCH($S162,IMPOSTAZIONI!$F$5:$F$12,0),9)*100000000+(9999-MIN(9999,ROUND(N($O162)/100,0)))*10000+ROW())</f>
        <v/>
      </c>
    </row>
    <row r="163">
      <c r="A163" s="11" t="n"/>
      <c r="B163" s="12">
        <f>IF($S163="","",IFERROR(MATCH($S163,IMPOSTAZIONI!$F$5:$F$12,0),9)&amp;" · "&amp;$S163)</f>
        <v/>
      </c>
      <c r="C163" s="13" t="n"/>
      <c r="D163" s="14" t="n"/>
      <c r="E163" s="11" t="n"/>
      <c r="F163" s="15">
        <f>IF($A163="","",IF(LEN(IF(AND($C163&lt;&gt;"",$C163=TODAY())," · oggi in centro","")&amp;IF(AND($C163&lt;&gt;"",$C163&gt;=TODAY(),N($D163)+1&gt;=IMPOSTAZIONI!$C$5)," · ultima del ciclo, proponi il mantenimento","")&amp;IF(AND($C163&lt;&gt;"",$C163&gt;=TODAY(),$I163&lt;&gt;"",$C163-$I163&lt;IMPOSTAZIONI!$C$6)," · rientro anticipato, meno di "&amp;IMPOSTAZIONI!$C$6&amp;" giorni","")&amp;IF(AND($C163&lt;&gt;"",$C163&gt;=TODAY(),$I163&lt;&gt;"",$C163-$I163&gt;IMPOSTAZIONI!$C$7)," · rientro oltre "&amp;IMPOSTAZIONI!$C$7&amp;" giorni",""))=0,"",MID(IF(AND($C163&lt;&gt;"",$C163=TODAY())," · oggi in centro","")&amp;IF(AND($C163&lt;&gt;"",$C163&gt;=TODAY(),N($D163)+1&gt;=IMPOSTAZIONI!$C$5)," · ultima del ciclo, proponi il mantenimento","")&amp;IF(AND($C163&lt;&gt;"",$C163&gt;=TODAY(),$I163&lt;&gt;"",$C163-$I163&lt;IMPOSTAZIONI!$C$6)," · rientro anticipato, meno di "&amp;IMPOSTAZIONI!$C$6&amp;" giorni","")&amp;IF(AND($C163&lt;&gt;"",$C163&gt;=TODAY(),$I163&lt;&gt;"",$C163-$I163&gt;IMPOSTAZIONI!$C$7)," · rientro oltre "&amp;IMPOSTAZIONI!$C$7&amp;" giorni",""),4,300)))</f>
        <v/>
      </c>
      <c r="G163" s="16" t="n"/>
      <c r="H163" s="11" t="n"/>
      <c r="I163" s="13" t="n"/>
      <c r="J163" s="17">
        <f>IF($I163="","",TODAY()-$I163)</f>
        <v/>
      </c>
      <c r="K163" s="17">
        <f>IF($C163="","",$C163-TODAY())</f>
        <v/>
      </c>
      <c r="L163" s="15">
        <f>IF($A163="","",N($D163)&amp;"/"&amp;IMPOSTAZIONI!$C$5)</f>
        <v/>
      </c>
      <c r="M163" s="15">
        <f>IF($S163="","",IF($S163="RECUPERA CON INCENTIVO",INCENTIVI!$C$7,IF($S163="RICHIAMO MANTENIMENTO",INCENTIVI!$C$6,IF(OR($S163="FUORI FINESTRA",$S163="ULTIMA SEDUTA"),INCENTIVI!$C$5,""))))</f>
        <v/>
      </c>
      <c r="N163" s="18" t="n"/>
      <c r="O163" s="19">
        <f>IF($A163="","",N($D163)*N($N163))</f>
        <v/>
      </c>
      <c r="P163" s="19">
        <f>IF($A163="","",MAX(0,(IMPOSTAZIONI!$C$5-N($D163))*N($N163)))</f>
        <v/>
      </c>
      <c r="Q163" s="13" t="n"/>
      <c r="R163" s="11" t="n"/>
      <c r="S163" s="15">
        <f>IF($A163="","",IF(AND($C163&lt;&gt;"",$C163&lt;TODAY(),OR($I163="",$I163&lt;$C163)),"APPUNTAMENTO SALTATO",IF(AND($C163&lt;&gt;"",$C163-TODAY()=1),"CONFERMA DOMANI",IF(AND($C163&lt;&gt;"",$C163-TODAY()=IMPOSTAZIONI!$C$8),"CHIAMA PER CONFERMA",IF(AND($C163&lt;&gt;"",$C163&gt;=TODAY()),"",IF($E163="Sospesa","",IF($E163="Persa","RECUPERA CON INCENTIVO",IF(AND($I163&lt;&gt;"",TODAY()&gt;=EDATE($I163,IMPOSTAZIONI!$C$10)),"RECUPERA CON INCENTIVO",IF($E163="Mantenimento",IF(AND($I163&lt;&gt;"",TODAY()-$I163&gt;=IMPOSTAZIONI!$C$9),"RICHIAMO MANTENIMENTO",""),IF($E163="In ciclo",IF(N($D163)&gt;=IMPOSTAZIONI!$C$5,"ULTIMA SEDUTA",IF(AND($I163&lt;&gt;"",TODAY()-$I163&gt;IMPOSTAZIONI!$C$7),"FUORI FINESTRA","PRENDI APPUNTAMENTO")),IF($E163="Da contattare","PRENDI APPUNTAMENTO","")))))))))))</f>
        <v/>
      </c>
      <c r="T163" s="17">
        <f>IF($S163="","",IFERROR(MATCH($S163,IMPOSTAZIONI!$F$5:$F$12,0),9)*100000000+(9999-MIN(9999,ROUND(N($O163)/100,0)))*10000+ROW())</f>
        <v/>
      </c>
    </row>
    <row r="164">
      <c r="A164" s="11" t="n"/>
      <c r="B164" s="12">
        <f>IF($S164="","",IFERROR(MATCH($S164,IMPOSTAZIONI!$F$5:$F$12,0),9)&amp;" · "&amp;$S164)</f>
        <v/>
      </c>
      <c r="C164" s="13" t="n"/>
      <c r="D164" s="14" t="n"/>
      <c r="E164" s="11" t="n"/>
      <c r="F164" s="15">
        <f>IF($A164="","",IF(LEN(IF(AND($C164&lt;&gt;"",$C164=TODAY())," · oggi in centro","")&amp;IF(AND($C164&lt;&gt;"",$C164&gt;=TODAY(),N($D164)+1&gt;=IMPOSTAZIONI!$C$5)," · ultima del ciclo, proponi il mantenimento","")&amp;IF(AND($C164&lt;&gt;"",$C164&gt;=TODAY(),$I164&lt;&gt;"",$C164-$I164&lt;IMPOSTAZIONI!$C$6)," · rientro anticipato, meno di "&amp;IMPOSTAZIONI!$C$6&amp;" giorni","")&amp;IF(AND($C164&lt;&gt;"",$C164&gt;=TODAY(),$I164&lt;&gt;"",$C164-$I164&gt;IMPOSTAZIONI!$C$7)," · rientro oltre "&amp;IMPOSTAZIONI!$C$7&amp;" giorni",""))=0,"",MID(IF(AND($C164&lt;&gt;"",$C164=TODAY())," · oggi in centro","")&amp;IF(AND($C164&lt;&gt;"",$C164&gt;=TODAY(),N($D164)+1&gt;=IMPOSTAZIONI!$C$5)," · ultima del ciclo, proponi il mantenimento","")&amp;IF(AND($C164&lt;&gt;"",$C164&gt;=TODAY(),$I164&lt;&gt;"",$C164-$I164&lt;IMPOSTAZIONI!$C$6)," · rientro anticipato, meno di "&amp;IMPOSTAZIONI!$C$6&amp;" giorni","")&amp;IF(AND($C164&lt;&gt;"",$C164&gt;=TODAY(),$I164&lt;&gt;"",$C164-$I164&gt;IMPOSTAZIONI!$C$7)," · rientro oltre "&amp;IMPOSTAZIONI!$C$7&amp;" giorni",""),4,300)))</f>
        <v/>
      </c>
      <c r="G164" s="16" t="n"/>
      <c r="H164" s="11" t="n"/>
      <c r="I164" s="13" t="n"/>
      <c r="J164" s="17">
        <f>IF($I164="","",TODAY()-$I164)</f>
        <v/>
      </c>
      <c r="K164" s="17">
        <f>IF($C164="","",$C164-TODAY())</f>
        <v/>
      </c>
      <c r="L164" s="15">
        <f>IF($A164="","",N($D164)&amp;"/"&amp;IMPOSTAZIONI!$C$5)</f>
        <v/>
      </c>
      <c r="M164" s="15">
        <f>IF($S164="","",IF($S164="RECUPERA CON INCENTIVO",INCENTIVI!$C$7,IF($S164="RICHIAMO MANTENIMENTO",INCENTIVI!$C$6,IF(OR($S164="FUORI FINESTRA",$S164="ULTIMA SEDUTA"),INCENTIVI!$C$5,""))))</f>
        <v/>
      </c>
      <c r="N164" s="18" t="n"/>
      <c r="O164" s="19">
        <f>IF($A164="","",N($D164)*N($N164))</f>
        <v/>
      </c>
      <c r="P164" s="19">
        <f>IF($A164="","",MAX(0,(IMPOSTAZIONI!$C$5-N($D164))*N($N164)))</f>
        <v/>
      </c>
      <c r="Q164" s="13" t="n"/>
      <c r="R164" s="11" t="n"/>
      <c r="S164" s="15">
        <f>IF($A164="","",IF(AND($C164&lt;&gt;"",$C164&lt;TODAY(),OR($I164="",$I164&lt;$C164)),"APPUNTAMENTO SALTATO",IF(AND($C164&lt;&gt;"",$C164-TODAY()=1),"CONFERMA DOMANI",IF(AND($C164&lt;&gt;"",$C164-TODAY()=IMPOSTAZIONI!$C$8),"CHIAMA PER CONFERMA",IF(AND($C164&lt;&gt;"",$C164&gt;=TODAY()),"",IF($E164="Sospesa","",IF($E164="Persa","RECUPERA CON INCENTIVO",IF(AND($I164&lt;&gt;"",TODAY()&gt;=EDATE($I164,IMPOSTAZIONI!$C$10)),"RECUPERA CON INCENTIVO",IF($E164="Mantenimento",IF(AND($I164&lt;&gt;"",TODAY()-$I164&gt;=IMPOSTAZIONI!$C$9),"RICHIAMO MANTENIMENTO",""),IF($E164="In ciclo",IF(N($D164)&gt;=IMPOSTAZIONI!$C$5,"ULTIMA SEDUTA",IF(AND($I164&lt;&gt;"",TODAY()-$I164&gt;IMPOSTAZIONI!$C$7),"FUORI FINESTRA","PRENDI APPUNTAMENTO")),IF($E164="Da contattare","PRENDI APPUNTAMENTO","")))))))))))</f>
        <v/>
      </c>
      <c r="T164" s="17">
        <f>IF($S164="","",IFERROR(MATCH($S164,IMPOSTAZIONI!$F$5:$F$12,0),9)*100000000+(9999-MIN(9999,ROUND(N($O164)/100,0)))*10000+ROW())</f>
        <v/>
      </c>
    </row>
    <row r="165">
      <c r="A165" s="11" t="n"/>
      <c r="B165" s="12">
        <f>IF($S165="","",IFERROR(MATCH($S165,IMPOSTAZIONI!$F$5:$F$12,0),9)&amp;" · "&amp;$S165)</f>
        <v/>
      </c>
      <c r="C165" s="13" t="n"/>
      <c r="D165" s="14" t="n"/>
      <c r="E165" s="11" t="n"/>
      <c r="F165" s="15">
        <f>IF($A165="","",IF(LEN(IF(AND($C165&lt;&gt;"",$C165=TODAY())," · oggi in centro","")&amp;IF(AND($C165&lt;&gt;"",$C165&gt;=TODAY(),N($D165)+1&gt;=IMPOSTAZIONI!$C$5)," · ultima del ciclo, proponi il mantenimento","")&amp;IF(AND($C165&lt;&gt;"",$C165&gt;=TODAY(),$I165&lt;&gt;"",$C165-$I165&lt;IMPOSTAZIONI!$C$6)," · rientro anticipato, meno di "&amp;IMPOSTAZIONI!$C$6&amp;" giorni","")&amp;IF(AND($C165&lt;&gt;"",$C165&gt;=TODAY(),$I165&lt;&gt;"",$C165-$I165&gt;IMPOSTAZIONI!$C$7)," · rientro oltre "&amp;IMPOSTAZIONI!$C$7&amp;" giorni",""))=0,"",MID(IF(AND($C165&lt;&gt;"",$C165=TODAY())," · oggi in centro","")&amp;IF(AND($C165&lt;&gt;"",$C165&gt;=TODAY(),N($D165)+1&gt;=IMPOSTAZIONI!$C$5)," · ultima del ciclo, proponi il mantenimento","")&amp;IF(AND($C165&lt;&gt;"",$C165&gt;=TODAY(),$I165&lt;&gt;"",$C165-$I165&lt;IMPOSTAZIONI!$C$6)," · rientro anticipato, meno di "&amp;IMPOSTAZIONI!$C$6&amp;" giorni","")&amp;IF(AND($C165&lt;&gt;"",$C165&gt;=TODAY(),$I165&lt;&gt;"",$C165-$I165&gt;IMPOSTAZIONI!$C$7)," · rientro oltre "&amp;IMPOSTAZIONI!$C$7&amp;" giorni",""),4,300)))</f>
        <v/>
      </c>
      <c r="G165" s="16" t="n"/>
      <c r="H165" s="11" t="n"/>
      <c r="I165" s="13" t="n"/>
      <c r="J165" s="17">
        <f>IF($I165="","",TODAY()-$I165)</f>
        <v/>
      </c>
      <c r="K165" s="17">
        <f>IF($C165="","",$C165-TODAY())</f>
        <v/>
      </c>
      <c r="L165" s="15">
        <f>IF($A165="","",N($D165)&amp;"/"&amp;IMPOSTAZIONI!$C$5)</f>
        <v/>
      </c>
      <c r="M165" s="15">
        <f>IF($S165="","",IF($S165="RECUPERA CON INCENTIVO",INCENTIVI!$C$7,IF($S165="RICHIAMO MANTENIMENTO",INCENTIVI!$C$6,IF(OR($S165="FUORI FINESTRA",$S165="ULTIMA SEDUTA"),INCENTIVI!$C$5,""))))</f>
        <v/>
      </c>
      <c r="N165" s="18" t="n"/>
      <c r="O165" s="19">
        <f>IF($A165="","",N($D165)*N($N165))</f>
        <v/>
      </c>
      <c r="P165" s="19">
        <f>IF($A165="","",MAX(0,(IMPOSTAZIONI!$C$5-N($D165))*N($N165)))</f>
        <v/>
      </c>
      <c r="Q165" s="13" t="n"/>
      <c r="R165" s="11" t="n"/>
      <c r="S165" s="15">
        <f>IF($A165="","",IF(AND($C165&lt;&gt;"",$C165&lt;TODAY(),OR($I165="",$I165&lt;$C165)),"APPUNTAMENTO SALTATO",IF(AND($C165&lt;&gt;"",$C165-TODAY()=1),"CONFERMA DOMANI",IF(AND($C165&lt;&gt;"",$C165-TODAY()=IMPOSTAZIONI!$C$8),"CHIAMA PER CONFERMA",IF(AND($C165&lt;&gt;"",$C165&gt;=TODAY()),"",IF($E165="Sospesa","",IF($E165="Persa","RECUPERA CON INCENTIVO",IF(AND($I165&lt;&gt;"",TODAY()&gt;=EDATE($I165,IMPOSTAZIONI!$C$10)),"RECUPERA CON INCENTIVO",IF($E165="Mantenimento",IF(AND($I165&lt;&gt;"",TODAY()-$I165&gt;=IMPOSTAZIONI!$C$9),"RICHIAMO MANTENIMENTO",""),IF($E165="In ciclo",IF(N($D165)&gt;=IMPOSTAZIONI!$C$5,"ULTIMA SEDUTA",IF(AND($I165&lt;&gt;"",TODAY()-$I165&gt;IMPOSTAZIONI!$C$7),"FUORI FINESTRA","PRENDI APPUNTAMENTO")),IF($E165="Da contattare","PRENDI APPUNTAMENTO","")))))))))))</f>
        <v/>
      </c>
      <c r="T165" s="17">
        <f>IF($S165="","",IFERROR(MATCH($S165,IMPOSTAZIONI!$F$5:$F$12,0),9)*100000000+(9999-MIN(9999,ROUND(N($O165)/100,0)))*10000+ROW())</f>
        <v/>
      </c>
    </row>
    <row r="166">
      <c r="A166" s="11" t="n"/>
      <c r="B166" s="12">
        <f>IF($S166="","",IFERROR(MATCH($S166,IMPOSTAZIONI!$F$5:$F$12,0),9)&amp;" · "&amp;$S166)</f>
        <v/>
      </c>
      <c r="C166" s="13" t="n"/>
      <c r="D166" s="14" t="n"/>
      <c r="E166" s="11" t="n"/>
      <c r="F166" s="15">
        <f>IF($A166="","",IF(LEN(IF(AND($C166&lt;&gt;"",$C166=TODAY())," · oggi in centro","")&amp;IF(AND($C166&lt;&gt;"",$C166&gt;=TODAY(),N($D166)+1&gt;=IMPOSTAZIONI!$C$5)," · ultima del ciclo, proponi il mantenimento","")&amp;IF(AND($C166&lt;&gt;"",$C166&gt;=TODAY(),$I166&lt;&gt;"",$C166-$I166&lt;IMPOSTAZIONI!$C$6)," · rientro anticipato, meno di "&amp;IMPOSTAZIONI!$C$6&amp;" giorni","")&amp;IF(AND($C166&lt;&gt;"",$C166&gt;=TODAY(),$I166&lt;&gt;"",$C166-$I166&gt;IMPOSTAZIONI!$C$7)," · rientro oltre "&amp;IMPOSTAZIONI!$C$7&amp;" giorni",""))=0,"",MID(IF(AND($C166&lt;&gt;"",$C166=TODAY())," · oggi in centro","")&amp;IF(AND($C166&lt;&gt;"",$C166&gt;=TODAY(),N($D166)+1&gt;=IMPOSTAZIONI!$C$5)," · ultima del ciclo, proponi il mantenimento","")&amp;IF(AND($C166&lt;&gt;"",$C166&gt;=TODAY(),$I166&lt;&gt;"",$C166-$I166&lt;IMPOSTAZIONI!$C$6)," · rientro anticipato, meno di "&amp;IMPOSTAZIONI!$C$6&amp;" giorni","")&amp;IF(AND($C166&lt;&gt;"",$C166&gt;=TODAY(),$I166&lt;&gt;"",$C166-$I166&gt;IMPOSTAZIONI!$C$7)," · rientro oltre "&amp;IMPOSTAZIONI!$C$7&amp;" giorni",""),4,300)))</f>
        <v/>
      </c>
      <c r="G166" s="16" t="n"/>
      <c r="H166" s="11" t="n"/>
      <c r="I166" s="13" t="n"/>
      <c r="J166" s="17">
        <f>IF($I166="","",TODAY()-$I166)</f>
        <v/>
      </c>
      <c r="K166" s="17">
        <f>IF($C166="","",$C166-TODAY())</f>
        <v/>
      </c>
      <c r="L166" s="15">
        <f>IF($A166="","",N($D166)&amp;"/"&amp;IMPOSTAZIONI!$C$5)</f>
        <v/>
      </c>
      <c r="M166" s="15">
        <f>IF($S166="","",IF($S166="RECUPERA CON INCENTIVO",INCENTIVI!$C$7,IF($S166="RICHIAMO MANTENIMENTO",INCENTIVI!$C$6,IF(OR($S166="FUORI FINESTRA",$S166="ULTIMA SEDUTA"),INCENTIVI!$C$5,""))))</f>
        <v/>
      </c>
      <c r="N166" s="18" t="n"/>
      <c r="O166" s="19">
        <f>IF($A166="","",N($D166)*N($N166))</f>
        <v/>
      </c>
      <c r="P166" s="19">
        <f>IF($A166="","",MAX(0,(IMPOSTAZIONI!$C$5-N($D166))*N($N166)))</f>
        <v/>
      </c>
      <c r="Q166" s="13" t="n"/>
      <c r="R166" s="11" t="n"/>
      <c r="S166" s="15">
        <f>IF($A166="","",IF(AND($C166&lt;&gt;"",$C166&lt;TODAY(),OR($I166="",$I166&lt;$C166)),"APPUNTAMENTO SALTATO",IF(AND($C166&lt;&gt;"",$C166-TODAY()=1),"CONFERMA DOMANI",IF(AND($C166&lt;&gt;"",$C166-TODAY()=IMPOSTAZIONI!$C$8),"CHIAMA PER CONFERMA",IF(AND($C166&lt;&gt;"",$C166&gt;=TODAY()),"",IF($E166="Sospesa","",IF($E166="Persa","RECUPERA CON INCENTIVO",IF(AND($I166&lt;&gt;"",TODAY()&gt;=EDATE($I166,IMPOSTAZIONI!$C$10)),"RECUPERA CON INCENTIVO",IF($E166="Mantenimento",IF(AND($I166&lt;&gt;"",TODAY()-$I166&gt;=IMPOSTAZIONI!$C$9),"RICHIAMO MANTENIMENTO",""),IF($E166="In ciclo",IF(N($D166)&gt;=IMPOSTAZIONI!$C$5,"ULTIMA SEDUTA",IF(AND($I166&lt;&gt;"",TODAY()-$I166&gt;IMPOSTAZIONI!$C$7),"FUORI FINESTRA","PRENDI APPUNTAMENTO")),IF($E166="Da contattare","PRENDI APPUNTAMENTO","")))))))))))</f>
        <v/>
      </c>
      <c r="T166" s="17">
        <f>IF($S166="","",IFERROR(MATCH($S166,IMPOSTAZIONI!$F$5:$F$12,0),9)*100000000+(9999-MIN(9999,ROUND(N($O166)/100,0)))*10000+ROW())</f>
        <v/>
      </c>
    </row>
    <row r="167">
      <c r="A167" s="11" t="n"/>
      <c r="B167" s="12">
        <f>IF($S167="","",IFERROR(MATCH($S167,IMPOSTAZIONI!$F$5:$F$12,0),9)&amp;" · "&amp;$S167)</f>
        <v/>
      </c>
      <c r="C167" s="13" t="n"/>
      <c r="D167" s="14" t="n"/>
      <c r="E167" s="11" t="n"/>
      <c r="F167" s="15">
        <f>IF($A167="","",IF(LEN(IF(AND($C167&lt;&gt;"",$C167=TODAY())," · oggi in centro","")&amp;IF(AND($C167&lt;&gt;"",$C167&gt;=TODAY(),N($D167)+1&gt;=IMPOSTAZIONI!$C$5)," · ultima del ciclo, proponi il mantenimento","")&amp;IF(AND($C167&lt;&gt;"",$C167&gt;=TODAY(),$I167&lt;&gt;"",$C167-$I167&lt;IMPOSTAZIONI!$C$6)," · rientro anticipato, meno di "&amp;IMPOSTAZIONI!$C$6&amp;" giorni","")&amp;IF(AND($C167&lt;&gt;"",$C167&gt;=TODAY(),$I167&lt;&gt;"",$C167-$I167&gt;IMPOSTAZIONI!$C$7)," · rientro oltre "&amp;IMPOSTAZIONI!$C$7&amp;" giorni",""))=0,"",MID(IF(AND($C167&lt;&gt;"",$C167=TODAY())," · oggi in centro","")&amp;IF(AND($C167&lt;&gt;"",$C167&gt;=TODAY(),N($D167)+1&gt;=IMPOSTAZIONI!$C$5)," · ultima del ciclo, proponi il mantenimento","")&amp;IF(AND($C167&lt;&gt;"",$C167&gt;=TODAY(),$I167&lt;&gt;"",$C167-$I167&lt;IMPOSTAZIONI!$C$6)," · rientro anticipato, meno di "&amp;IMPOSTAZIONI!$C$6&amp;" giorni","")&amp;IF(AND($C167&lt;&gt;"",$C167&gt;=TODAY(),$I167&lt;&gt;"",$C167-$I167&gt;IMPOSTAZIONI!$C$7)," · rientro oltre "&amp;IMPOSTAZIONI!$C$7&amp;" giorni",""),4,300)))</f>
        <v/>
      </c>
      <c r="G167" s="16" t="n"/>
      <c r="H167" s="11" t="n"/>
      <c r="I167" s="13" t="n"/>
      <c r="J167" s="17">
        <f>IF($I167="","",TODAY()-$I167)</f>
        <v/>
      </c>
      <c r="K167" s="17">
        <f>IF($C167="","",$C167-TODAY())</f>
        <v/>
      </c>
      <c r="L167" s="15">
        <f>IF($A167="","",N($D167)&amp;"/"&amp;IMPOSTAZIONI!$C$5)</f>
        <v/>
      </c>
      <c r="M167" s="15">
        <f>IF($S167="","",IF($S167="RECUPERA CON INCENTIVO",INCENTIVI!$C$7,IF($S167="RICHIAMO MANTENIMENTO",INCENTIVI!$C$6,IF(OR($S167="FUORI FINESTRA",$S167="ULTIMA SEDUTA"),INCENTIVI!$C$5,""))))</f>
        <v/>
      </c>
      <c r="N167" s="18" t="n"/>
      <c r="O167" s="19">
        <f>IF($A167="","",N($D167)*N($N167))</f>
        <v/>
      </c>
      <c r="P167" s="19">
        <f>IF($A167="","",MAX(0,(IMPOSTAZIONI!$C$5-N($D167))*N($N167)))</f>
        <v/>
      </c>
      <c r="Q167" s="13" t="n"/>
      <c r="R167" s="11" t="n"/>
      <c r="S167" s="15">
        <f>IF($A167="","",IF(AND($C167&lt;&gt;"",$C167&lt;TODAY(),OR($I167="",$I167&lt;$C167)),"APPUNTAMENTO SALTATO",IF(AND($C167&lt;&gt;"",$C167-TODAY()=1),"CONFERMA DOMANI",IF(AND($C167&lt;&gt;"",$C167-TODAY()=IMPOSTAZIONI!$C$8),"CHIAMA PER CONFERMA",IF(AND($C167&lt;&gt;"",$C167&gt;=TODAY()),"",IF($E167="Sospesa","",IF($E167="Persa","RECUPERA CON INCENTIVO",IF(AND($I167&lt;&gt;"",TODAY()&gt;=EDATE($I167,IMPOSTAZIONI!$C$10)),"RECUPERA CON INCENTIVO",IF($E167="Mantenimento",IF(AND($I167&lt;&gt;"",TODAY()-$I167&gt;=IMPOSTAZIONI!$C$9),"RICHIAMO MANTENIMENTO",""),IF($E167="In ciclo",IF(N($D167)&gt;=IMPOSTAZIONI!$C$5,"ULTIMA SEDUTA",IF(AND($I167&lt;&gt;"",TODAY()-$I167&gt;IMPOSTAZIONI!$C$7),"FUORI FINESTRA","PRENDI APPUNTAMENTO")),IF($E167="Da contattare","PRENDI APPUNTAMENTO","")))))))))))</f>
        <v/>
      </c>
      <c r="T167" s="17">
        <f>IF($S167="","",IFERROR(MATCH($S167,IMPOSTAZIONI!$F$5:$F$12,0),9)*100000000+(9999-MIN(9999,ROUND(N($O167)/100,0)))*10000+ROW())</f>
        <v/>
      </c>
    </row>
    <row r="168">
      <c r="A168" s="11" t="n"/>
      <c r="B168" s="12">
        <f>IF($S168="","",IFERROR(MATCH($S168,IMPOSTAZIONI!$F$5:$F$12,0),9)&amp;" · "&amp;$S168)</f>
        <v/>
      </c>
      <c r="C168" s="13" t="n"/>
      <c r="D168" s="14" t="n"/>
      <c r="E168" s="11" t="n"/>
      <c r="F168" s="15">
        <f>IF($A168="","",IF(LEN(IF(AND($C168&lt;&gt;"",$C168=TODAY())," · oggi in centro","")&amp;IF(AND($C168&lt;&gt;"",$C168&gt;=TODAY(),N($D168)+1&gt;=IMPOSTAZIONI!$C$5)," · ultima del ciclo, proponi il mantenimento","")&amp;IF(AND($C168&lt;&gt;"",$C168&gt;=TODAY(),$I168&lt;&gt;"",$C168-$I168&lt;IMPOSTAZIONI!$C$6)," · rientro anticipato, meno di "&amp;IMPOSTAZIONI!$C$6&amp;" giorni","")&amp;IF(AND($C168&lt;&gt;"",$C168&gt;=TODAY(),$I168&lt;&gt;"",$C168-$I168&gt;IMPOSTAZIONI!$C$7)," · rientro oltre "&amp;IMPOSTAZIONI!$C$7&amp;" giorni",""))=0,"",MID(IF(AND($C168&lt;&gt;"",$C168=TODAY())," · oggi in centro","")&amp;IF(AND($C168&lt;&gt;"",$C168&gt;=TODAY(),N($D168)+1&gt;=IMPOSTAZIONI!$C$5)," · ultima del ciclo, proponi il mantenimento","")&amp;IF(AND($C168&lt;&gt;"",$C168&gt;=TODAY(),$I168&lt;&gt;"",$C168-$I168&lt;IMPOSTAZIONI!$C$6)," · rientro anticipato, meno di "&amp;IMPOSTAZIONI!$C$6&amp;" giorni","")&amp;IF(AND($C168&lt;&gt;"",$C168&gt;=TODAY(),$I168&lt;&gt;"",$C168-$I168&gt;IMPOSTAZIONI!$C$7)," · rientro oltre "&amp;IMPOSTAZIONI!$C$7&amp;" giorni",""),4,300)))</f>
        <v/>
      </c>
      <c r="G168" s="16" t="n"/>
      <c r="H168" s="11" t="n"/>
      <c r="I168" s="13" t="n"/>
      <c r="J168" s="17">
        <f>IF($I168="","",TODAY()-$I168)</f>
        <v/>
      </c>
      <c r="K168" s="17">
        <f>IF($C168="","",$C168-TODAY())</f>
        <v/>
      </c>
      <c r="L168" s="15">
        <f>IF($A168="","",N($D168)&amp;"/"&amp;IMPOSTAZIONI!$C$5)</f>
        <v/>
      </c>
      <c r="M168" s="15">
        <f>IF($S168="","",IF($S168="RECUPERA CON INCENTIVO",INCENTIVI!$C$7,IF($S168="RICHIAMO MANTENIMENTO",INCENTIVI!$C$6,IF(OR($S168="FUORI FINESTRA",$S168="ULTIMA SEDUTA"),INCENTIVI!$C$5,""))))</f>
        <v/>
      </c>
      <c r="N168" s="18" t="n"/>
      <c r="O168" s="19">
        <f>IF($A168="","",N($D168)*N($N168))</f>
        <v/>
      </c>
      <c r="P168" s="19">
        <f>IF($A168="","",MAX(0,(IMPOSTAZIONI!$C$5-N($D168))*N($N168)))</f>
        <v/>
      </c>
      <c r="Q168" s="13" t="n"/>
      <c r="R168" s="11" t="n"/>
      <c r="S168" s="15">
        <f>IF($A168="","",IF(AND($C168&lt;&gt;"",$C168&lt;TODAY(),OR($I168="",$I168&lt;$C168)),"APPUNTAMENTO SALTATO",IF(AND($C168&lt;&gt;"",$C168-TODAY()=1),"CONFERMA DOMANI",IF(AND($C168&lt;&gt;"",$C168-TODAY()=IMPOSTAZIONI!$C$8),"CHIAMA PER CONFERMA",IF(AND($C168&lt;&gt;"",$C168&gt;=TODAY()),"",IF($E168="Sospesa","",IF($E168="Persa","RECUPERA CON INCENTIVO",IF(AND($I168&lt;&gt;"",TODAY()&gt;=EDATE($I168,IMPOSTAZIONI!$C$10)),"RECUPERA CON INCENTIVO",IF($E168="Mantenimento",IF(AND($I168&lt;&gt;"",TODAY()-$I168&gt;=IMPOSTAZIONI!$C$9),"RICHIAMO MANTENIMENTO",""),IF($E168="In ciclo",IF(N($D168)&gt;=IMPOSTAZIONI!$C$5,"ULTIMA SEDUTA",IF(AND($I168&lt;&gt;"",TODAY()-$I168&gt;IMPOSTAZIONI!$C$7),"FUORI FINESTRA","PRENDI APPUNTAMENTO")),IF($E168="Da contattare","PRENDI APPUNTAMENTO","")))))))))))</f>
        <v/>
      </c>
      <c r="T168" s="17">
        <f>IF($S168="","",IFERROR(MATCH($S168,IMPOSTAZIONI!$F$5:$F$12,0),9)*100000000+(9999-MIN(9999,ROUND(N($O168)/100,0)))*10000+ROW())</f>
        <v/>
      </c>
    </row>
    <row r="169">
      <c r="A169" s="11" t="n"/>
      <c r="B169" s="12">
        <f>IF($S169="","",IFERROR(MATCH($S169,IMPOSTAZIONI!$F$5:$F$12,0),9)&amp;" · "&amp;$S169)</f>
        <v/>
      </c>
      <c r="C169" s="13" t="n"/>
      <c r="D169" s="14" t="n"/>
      <c r="E169" s="11" t="n"/>
      <c r="F169" s="15">
        <f>IF($A169="","",IF(LEN(IF(AND($C169&lt;&gt;"",$C169=TODAY())," · oggi in centro","")&amp;IF(AND($C169&lt;&gt;"",$C169&gt;=TODAY(),N($D169)+1&gt;=IMPOSTAZIONI!$C$5)," · ultima del ciclo, proponi il mantenimento","")&amp;IF(AND($C169&lt;&gt;"",$C169&gt;=TODAY(),$I169&lt;&gt;"",$C169-$I169&lt;IMPOSTAZIONI!$C$6)," · rientro anticipato, meno di "&amp;IMPOSTAZIONI!$C$6&amp;" giorni","")&amp;IF(AND($C169&lt;&gt;"",$C169&gt;=TODAY(),$I169&lt;&gt;"",$C169-$I169&gt;IMPOSTAZIONI!$C$7)," · rientro oltre "&amp;IMPOSTAZIONI!$C$7&amp;" giorni",""))=0,"",MID(IF(AND($C169&lt;&gt;"",$C169=TODAY())," · oggi in centro","")&amp;IF(AND($C169&lt;&gt;"",$C169&gt;=TODAY(),N($D169)+1&gt;=IMPOSTAZIONI!$C$5)," · ultima del ciclo, proponi il mantenimento","")&amp;IF(AND($C169&lt;&gt;"",$C169&gt;=TODAY(),$I169&lt;&gt;"",$C169-$I169&lt;IMPOSTAZIONI!$C$6)," · rientro anticipato, meno di "&amp;IMPOSTAZIONI!$C$6&amp;" giorni","")&amp;IF(AND($C169&lt;&gt;"",$C169&gt;=TODAY(),$I169&lt;&gt;"",$C169-$I169&gt;IMPOSTAZIONI!$C$7)," · rientro oltre "&amp;IMPOSTAZIONI!$C$7&amp;" giorni",""),4,300)))</f>
        <v/>
      </c>
      <c r="G169" s="16" t="n"/>
      <c r="H169" s="11" t="n"/>
      <c r="I169" s="13" t="n"/>
      <c r="J169" s="17">
        <f>IF($I169="","",TODAY()-$I169)</f>
        <v/>
      </c>
      <c r="K169" s="17">
        <f>IF($C169="","",$C169-TODAY())</f>
        <v/>
      </c>
      <c r="L169" s="15">
        <f>IF($A169="","",N($D169)&amp;"/"&amp;IMPOSTAZIONI!$C$5)</f>
        <v/>
      </c>
      <c r="M169" s="15">
        <f>IF($S169="","",IF($S169="RECUPERA CON INCENTIVO",INCENTIVI!$C$7,IF($S169="RICHIAMO MANTENIMENTO",INCENTIVI!$C$6,IF(OR($S169="FUORI FINESTRA",$S169="ULTIMA SEDUTA"),INCENTIVI!$C$5,""))))</f>
        <v/>
      </c>
      <c r="N169" s="18" t="n"/>
      <c r="O169" s="19">
        <f>IF($A169="","",N($D169)*N($N169))</f>
        <v/>
      </c>
      <c r="P169" s="19">
        <f>IF($A169="","",MAX(0,(IMPOSTAZIONI!$C$5-N($D169))*N($N169)))</f>
        <v/>
      </c>
      <c r="Q169" s="13" t="n"/>
      <c r="R169" s="11" t="n"/>
      <c r="S169" s="15">
        <f>IF($A169="","",IF(AND($C169&lt;&gt;"",$C169&lt;TODAY(),OR($I169="",$I169&lt;$C169)),"APPUNTAMENTO SALTATO",IF(AND($C169&lt;&gt;"",$C169-TODAY()=1),"CONFERMA DOMANI",IF(AND($C169&lt;&gt;"",$C169-TODAY()=IMPOSTAZIONI!$C$8),"CHIAMA PER CONFERMA",IF(AND($C169&lt;&gt;"",$C169&gt;=TODAY()),"",IF($E169="Sospesa","",IF($E169="Persa","RECUPERA CON INCENTIVO",IF(AND($I169&lt;&gt;"",TODAY()&gt;=EDATE($I169,IMPOSTAZIONI!$C$10)),"RECUPERA CON INCENTIVO",IF($E169="Mantenimento",IF(AND($I169&lt;&gt;"",TODAY()-$I169&gt;=IMPOSTAZIONI!$C$9),"RICHIAMO MANTENIMENTO",""),IF($E169="In ciclo",IF(N($D169)&gt;=IMPOSTAZIONI!$C$5,"ULTIMA SEDUTA",IF(AND($I169&lt;&gt;"",TODAY()-$I169&gt;IMPOSTAZIONI!$C$7),"FUORI FINESTRA","PRENDI APPUNTAMENTO")),IF($E169="Da contattare","PRENDI APPUNTAMENTO","")))))))))))</f>
        <v/>
      </c>
      <c r="T169" s="17">
        <f>IF($S169="","",IFERROR(MATCH($S169,IMPOSTAZIONI!$F$5:$F$12,0),9)*100000000+(9999-MIN(9999,ROUND(N($O169)/100,0)))*10000+ROW())</f>
        <v/>
      </c>
    </row>
    <row r="170">
      <c r="A170" s="11" t="n"/>
      <c r="B170" s="12">
        <f>IF($S170="","",IFERROR(MATCH($S170,IMPOSTAZIONI!$F$5:$F$12,0),9)&amp;" · "&amp;$S170)</f>
        <v/>
      </c>
      <c r="C170" s="13" t="n"/>
      <c r="D170" s="14" t="n"/>
      <c r="E170" s="11" t="n"/>
      <c r="F170" s="15">
        <f>IF($A170="","",IF(LEN(IF(AND($C170&lt;&gt;"",$C170=TODAY())," · oggi in centro","")&amp;IF(AND($C170&lt;&gt;"",$C170&gt;=TODAY(),N($D170)+1&gt;=IMPOSTAZIONI!$C$5)," · ultima del ciclo, proponi il mantenimento","")&amp;IF(AND($C170&lt;&gt;"",$C170&gt;=TODAY(),$I170&lt;&gt;"",$C170-$I170&lt;IMPOSTAZIONI!$C$6)," · rientro anticipato, meno di "&amp;IMPOSTAZIONI!$C$6&amp;" giorni","")&amp;IF(AND($C170&lt;&gt;"",$C170&gt;=TODAY(),$I170&lt;&gt;"",$C170-$I170&gt;IMPOSTAZIONI!$C$7)," · rientro oltre "&amp;IMPOSTAZIONI!$C$7&amp;" giorni",""))=0,"",MID(IF(AND($C170&lt;&gt;"",$C170=TODAY())," · oggi in centro","")&amp;IF(AND($C170&lt;&gt;"",$C170&gt;=TODAY(),N($D170)+1&gt;=IMPOSTAZIONI!$C$5)," · ultima del ciclo, proponi il mantenimento","")&amp;IF(AND($C170&lt;&gt;"",$C170&gt;=TODAY(),$I170&lt;&gt;"",$C170-$I170&lt;IMPOSTAZIONI!$C$6)," · rientro anticipato, meno di "&amp;IMPOSTAZIONI!$C$6&amp;" giorni","")&amp;IF(AND($C170&lt;&gt;"",$C170&gt;=TODAY(),$I170&lt;&gt;"",$C170-$I170&gt;IMPOSTAZIONI!$C$7)," · rientro oltre "&amp;IMPOSTAZIONI!$C$7&amp;" giorni",""),4,300)))</f>
        <v/>
      </c>
      <c r="G170" s="16" t="n"/>
      <c r="H170" s="11" t="n"/>
      <c r="I170" s="13" t="n"/>
      <c r="J170" s="17">
        <f>IF($I170="","",TODAY()-$I170)</f>
        <v/>
      </c>
      <c r="K170" s="17">
        <f>IF($C170="","",$C170-TODAY())</f>
        <v/>
      </c>
      <c r="L170" s="15">
        <f>IF($A170="","",N($D170)&amp;"/"&amp;IMPOSTAZIONI!$C$5)</f>
        <v/>
      </c>
      <c r="M170" s="15">
        <f>IF($S170="","",IF($S170="RECUPERA CON INCENTIVO",INCENTIVI!$C$7,IF($S170="RICHIAMO MANTENIMENTO",INCENTIVI!$C$6,IF(OR($S170="FUORI FINESTRA",$S170="ULTIMA SEDUTA"),INCENTIVI!$C$5,""))))</f>
        <v/>
      </c>
      <c r="N170" s="18" t="n"/>
      <c r="O170" s="19">
        <f>IF($A170="","",N($D170)*N($N170))</f>
        <v/>
      </c>
      <c r="P170" s="19">
        <f>IF($A170="","",MAX(0,(IMPOSTAZIONI!$C$5-N($D170))*N($N170)))</f>
        <v/>
      </c>
      <c r="Q170" s="13" t="n"/>
      <c r="R170" s="11" t="n"/>
      <c r="S170" s="15">
        <f>IF($A170="","",IF(AND($C170&lt;&gt;"",$C170&lt;TODAY(),OR($I170="",$I170&lt;$C170)),"APPUNTAMENTO SALTATO",IF(AND($C170&lt;&gt;"",$C170-TODAY()=1),"CONFERMA DOMANI",IF(AND($C170&lt;&gt;"",$C170-TODAY()=IMPOSTAZIONI!$C$8),"CHIAMA PER CONFERMA",IF(AND($C170&lt;&gt;"",$C170&gt;=TODAY()),"",IF($E170="Sospesa","",IF($E170="Persa","RECUPERA CON INCENTIVO",IF(AND($I170&lt;&gt;"",TODAY()&gt;=EDATE($I170,IMPOSTAZIONI!$C$10)),"RECUPERA CON INCENTIVO",IF($E170="Mantenimento",IF(AND($I170&lt;&gt;"",TODAY()-$I170&gt;=IMPOSTAZIONI!$C$9),"RICHIAMO MANTENIMENTO",""),IF($E170="In ciclo",IF(N($D170)&gt;=IMPOSTAZIONI!$C$5,"ULTIMA SEDUTA",IF(AND($I170&lt;&gt;"",TODAY()-$I170&gt;IMPOSTAZIONI!$C$7),"FUORI FINESTRA","PRENDI APPUNTAMENTO")),IF($E170="Da contattare","PRENDI APPUNTAMENTO","")))))))))))</f>
        <v/>
      </c>
      <c r="T170" s="17">
        <f>IF($S170="","",IFERROR(MATCH($S170,IMPOSTAZIONI!$F$5:$F$12,0),9)*100000000+(9999-MIN(9999,ROUND(N($O170)/100,0)))*10000+ROW())</f>
        <v/>
      </c>
    </row>
    <row r="171">
      <c r="A171" s="11" t="n"/>
      <c r="B171" s="12">
        <f>IF($S171="","",IFERROR(MATCH($S171,IMPOSTAZIONI!$F$5:$F$12,0),9)&amp;" · "&amp;$S171)</f>
        <v/>
      </c>
      <c r="C171" s="13" t="n"/>
      <c r="D171" s="14" t="n"/>
      <c r="E171" s="11" t="n"/>
      <c r="F171" s="15">
        <f>IF($A171="","",IF(LEN(IF(AND($C171&lt;&gt;"",$C171=TODAY())," · oggi in centro","")&amp;IF(AND($C171&lt;&gt;"",$C171&gt;=TODAY(),N($D171)+1&gt;=IMPOSTAZIONI!$C$5)," · ultima del ciclo, proponi il mantenimento","")&amp;IF(AND($C171&lt;&gt;"",$C171&gt;=TODAY(),$I171&lt;&gt;"",$C171-$I171&lt;IMPOSTAZIONI!$C$6)," · rientro anticipato, meno di "&amp;IMPOSTAZIONI!$C$6&amp;" giorni","")&amp;IF(AND($C171&lt;&gt;"",$C171&gt;=TODAY(),$I171&lt;&gt;"",$C171-$I171&gt;IMPOSTAZIONI!$C$7)," · rientro oltre "&amp;IMPOSTAZIONI!$C$7&amp;" giorni",""))=0,"",MID(IF(AND($C171&lt;&gt;"",$C171=TODAY())," · oggi in centro","")&amp;IF(AND($C171&lt;&gt;"",$C171&gt;=TODAY(),N($D171)+1&gt;=IMPOSTAZIONI!$C$5)," · ultima del ciclo, proponi il mantenimento","")&amp;IF(AND($C171&lt;&gt;"",$C171&gt;=TODAY(),$I171&lt;&gt;"",$C171-$I171&lt;IMPOSTAZIONI!$C$6)," · rientro anticipato, meno di "&amp;IMPOSTAZIONI!$C$6&amp;" giorni","")&amp;IF(AND($C171&lt;&gt;"",$C171&gt;=TODAY(),$I171&lt;&gt;"",$C171-$I171&gt;IMPOSTAZIONI!$C$7)," · rientro oltre "&amp;IMPOSTAZIONI!$C$7&amp;" giorni",""),4,300)))</f>
        <v/>
      </c>
      <c r="G171" s="16" t="n"/>
      <c r="H171" s="11" t="n"/>
      <c r="I171" s="13" t="n"/>
      <c r="J171" s="17">
        <f>IF($I171="","",TODAY()-$I171)</f>
        <v/>
      </c>
      <c r="K171" s="17">
        <f>IF($C171="","",$C171-TODAY())</f>
        <v/>
      </c>
      <c r="L171" s="15">
        <f>IF($A171="","",N($D171)&amp;"/"&amp;IMPOSTAZIONI!$C$5)</f>
        <v/>
      </c>
      <c r="M171" s="15">
        <f>IF($S171="","",IF($S171="RECUPERA CON INCENTIVO",INCENTIVI!$C$7,IF($S171="RICHIAMO MANTENIMENTO",INCENTIVI!$C$6,IF(OR($S171="FUORI FINESTRA",$S171="ULTIMA SEDUTA"),INCENTIVI!$C$5,""))))</f>
        <v/>
      </c>
      <c r="N171" s="18" t="n"/>
      <c r="O171" s="19">
        <f>IF($A171="","",N($D171)*N($N171))</f>
        <v/>
      </c>
      <c r="P171" s="19">
        <f>IF($A171="","",MAX(0,(IMPOSTAZIONI!$C$5-N($D171))*N($N171)))</f>
        <v/>
      </c>
      <c r="Q171" s="13" t="n"/>
      <c r="R171" s="11" t="n"/>
      <c r="S171" s="15">
        <f>IF($A171="","",IF(AND($C171&lt;&gt;"",$C171&lt;TODAY(),OR($I171="",$I171&lt;$C171)),"APPUNTAMENTO SALTATO",IF(AND($C171&lt;&gt;"",$C171-TODAY()=1),"CONFERMA DOMANI",IF(AND($C171&lt;&gt;"",$C171-TODAY()=IMPOSTAZIONI!$C$8),"CHIAMA PER CONFERMA",IF(AND($C171&lt;&gt;"",$C171&gt;=TODAY()),"",IF($E171="Sospesa","",IF($E171="Persa","RECUPERA CON INCENTIVO",IF(AND($I171&lt;&gt;"",TODAY()&gt;=EDATE($I171,IMPOSTAZIONI!$C$10)),"RECUPERA CON INCENTIVO",IF($E171="Mantenimento",IF(AND($I171&lt;&gt;"",TODAY()-$I171&gt;=IMPOSTAZIONI!$C$9),"RICHIAMO MANTENIMENTO",""),IF($E171="In ciclo",IF(N($D171)&gt;=IMPOSTAZIONI!$C$5,"ULTIMA SEDUTA",IF(AND($I171&lt;&gt;"",TODAY()-$I171&gt;IMPOSTAZIONI!$C$7),"FUORI FINESTRA","PRENDI APPUNTAMENTO")),IF($E171="Da contattare","PRENDI APPUNTAMENTO","")))))))))))</f>
        <v/>
      </c>
      <c r="T171" s="17">
        <f>IF($S171="","",IFERROR(MATCH($S171,IMPOSTAZIONI!$F$5:$F$12,0),9)*100000000+(9999-MIN(9999,ROUND(N($O171)/100,0)))*10000+ROW())</f>
        <v/>
      </c>
    </row>
    <row r="172">
      <c r="A172" s="11" t="n"/>
      <c r="B172" s="12">
        <f>IF($S172="","",IFERROR(MATCH($S172,IMPOSTAZIONI!$F$5:$F$12,0),9)&amp;" · "&amp;$S172)</f>
        <v/>
      </c>
      <c r="C172" s="13" t="n"/>
      <c r="D172" s="14" t="n"/>
      <c r="E172" s="11" t="n"/>
      <c r="F172" s="15">
        <f>IF($A172="","",IF(LEN(IF(AND($C172&lt;&gt;"",$C172=TODAY())," · oggi in centro","")&amp;IF(AND($C172&lt;&gt;"",$C172&gt;=TODAY(),N($D172)+1&gt;=IMPOSTAZIONI!$C$5)," · ultima del ciclo, proponi il mantenimento","")&amp;IF(AND($C172&lt;&gt;"",$C172&gt;=TODAY(),$I172&lt;&gt;"",$C172-$I172&lt;IMPOSTAZIONI!$C$6)," · rientro anticipato, meno di "&amp;IMPOSTAZIONI!$C$6&amp;" giorni","")&amp;IF(AND($C172&lt;&gt;"",$C172&gt;=TODAY(),$I172&lt;&gt;"",$C172-$I172&gt;IMPOSTAZIONI!$C$7)," · rientro oltre "&amp;IMPOSTAZIONI!$C$7&amp;" giorni",""))=0,"",MID(IF(AND($C172&lt;&gt;"",$C172=TODAY())," · oggi in centro","")&amp;IF(AND($C172&lt;&gt;"",$C172&gt;=TODAY(),N($D172)+1&gt;=IMPOSTAZIONI!$C$5)," · ultima del ciclo, proponi il mantenimento","")&amp;IF(AND($C172&lt;&gt;"",$C172&gt;=TODAY(),$I172&lt;&gt;"",$C172-$I172&lt;IMPOSTAZIONI!$C$6)," · rientro anticipato, meno di "&amp;IMPOSTAZIONI!$C$6&amp;" giorni","")&amp;IF(AND($C172&lt;&gt;"",$C172&gt;=TODAY(),$I172&lt;&gt;"",$C172-$I172&gt;IMPOSTAZIONI!$C$7)," · rientro oltre "&amp;IMPOSTAZIONI!$C$7&amp;" giorni",""),4,300)))</f>
        <v/>
      </c>
      <c r="G172" s="16" t="n"/>
      <c r="H172" s="11" t="n"/>
      <c r="I172" s="13" t="n"/>
      <c r="J172" s="17">
        <f>IF($I172="","",TODAY()-$I172)</f>
        <v/>
      </c>
      <c r="K172" s="17">
        <f>IF($C172="","",$C172-TODAY())</f>
        <v/>
      </c>
      <c r="L172" s="15">
        <f>IF($A172="","",N($D172)&amp;"/"&amp;IMPOSTAZIONI!$C$5)</f>
        <v/>
      </c>
      <c r="M172" s="15">
        <f>IF($S172="","",IF($S172="RECUPERA CON INCENTIVO",INCENTIVI!$C$7,IF($S172="RICHIAMO MANTENIMENTO",INCENTIVI!$C$6,IF(OR($S172="FUORI FINESTRA",$S172="ULTIMA SEDUTA"),INCENTIVI!$C$5,""))))</f>
        <v/>
      </c>
      <c r="N172" s="18" t="n"/>
      <c r="O172" s="19">
        <f>IF($A172="","",N($D172)*N($N172))</f>
        <v/>
      </c>
      <c r="P172" s="19">
        <f>IF($A172="","",MAX(0,(IMPOSTAZIONI!$C$5-N($D172))*N($N172)))</f>
        <v/>
      </c>
      <c r="Q172" s="13" t="n"/>
      <c r="R172" s="11" t="n"/>
      <c r="S172" s="15">
        <f>IF($A172="","",IF(AND($C172&lt;&gt;"",$C172&lt;TODAY(),OR($I172="",$I172&lt;$C172)),"APPUNTAMENTO SALTATO",IF(AND($C172&lt;&gt;"",$C172-TODAY()=1),"CONFERMA DOMANI",IF(AND($C172&lt;&gt;"",$C172-TODAY()=IMPOSTAZIONI!$C$8),"CHIAMA PER CONFERMA",IF(AND($C172&lt;&gt;"",$C172&gt;=TODAY()),"",IF($E172="Sospesa","",IF($E172="Persa","RECUPERA CON INCENTIVO",IF(AND($I172&lt;&gt;"",TODAY()&gt;=EDATE($I172,IMPOSTAZIONI!$C$10)),"RECUPERA CON INCENTIVO",IF($E172="Mantenimento",IF(AND($I172&lt;&gt;"",TODAY()-$I172&gt;=IMPOSTAZIONI!$C$9),"RICHIAMO MANTENIMENTO",""),IF($E172="In ciclo",IF(N($D172)&gt;=IMPOSTAZIONI!$C$5,"ULTIMA SEDUTA",IF(AND($I172&lt;&gt;"",TODAY()-$I172&gt;IMPOSTAZIONI!$C$7),"FUORI FINESTRA","PRENDI APPUNTAMENTO")),IF($E172="Da contattare","PRENDI APPUNTAMENTO","")))))))))))</f>
        <v/>
      </c>
      <c r="T172" s="17">
        <f>IF($S172="","",IFERROR(MATCH($S172,IMPOSTAZIONI!$F$5:$F$12,0),9)*100000000+(9999-MIN(9999,ROUND(N($O172)/100,0)))*10000+ROW())</f>
        <v/>
      </c>
    </row>
    <row r="173">
      <c r="A173" s="11" t="n"/>
      <c r="B173" s="12">
        <f>IF($S173="","",IFERROR(MATCH($S173,IMPOSTAZIONI!$F$5:$F$12,0),9)&amp;" · "&amp;$S173)</f>
        <v/>
      </c>
      <c r="C173" s="13" t="n"/>
      <c r="D173" s="14" t="n"/>
      <c r="E173" s="11" t="n"/>
      <c r="F173" s="15">
        <f>IF($A173="","",IF(LEN(IF(AND($C173&lt;&gt;"",$C173=TODAY())," · oggi in centro","")&amp;IF(AND($C173&lt;&gt;"",$C173&gt;=TODAY(),N($D173)+1&gt;=IMPOSTAZIONI!$C$5)," · ultima del ciclo, proponi il mantenimento","")&amp;IF(AND($C173&lt;&gt;"",$C173&gt;=TODAY(),$I173&lt;&gt;"",$C173-$I173&lt;IMPOSTAZIONI!$C$6)," · rientro anticipato, meno di "&amp;IMPOSTAZIONI!$C$6&amp;" giorni","")&amp;IF(AND($C173&lt;&gt;"",$C173&gt;=TODAY(),$I173&lt;&gt;"",$C173-$I173&gt;IMPOSTAZIONI!$C$7)," · rientro oltre "&amp;IMPOSTAZIONI!$C$7&amp;" giorni",""))=0,"",MID(IF(AND($C173&lt;&gt;"",$C173=TODAY())," · oggi in centro","")&amp;IF(AND($C173&lt;&gt;"",$C173&gt;=TODAY(),N($D173)+1&gt;=IMPOSTAZIONI!$C$5)," · ultima del ciclo, proponi il mantenimento","")&amp;IF(AND($C173&lt;&gt;"",$C173&gt;=TODAY(),$I173&lt;&gt;"",$C173-$I173&lt;IMPOSTAZIONI!$C$6)," · rientro anticipato, meno di "&amp;IMPOSTAZIONI!$C$6&amp;" giorni","")&amp;IF(AND($C173&lt;&gt;"",$C173&gt;=TODAY(),$I173&lt;&gt;"",$C173-$I173&gt;IMPOSTAZIONI!$C$7)," · rientro oltre "&amp;IMPOSTAZIONI!$C$7&amp;" giorni",""),4,300)))</f>
        <v/>
      </c>
      <c r="G173" s="16" t="n"/>
      <c r="H173" s="11" t="n"/>
      <c r="I173" s="13" t="n"/>
      <c r="J173" s="17">
        <f>IF($I173="","",TODAY()-$I173)</f>
        <v/>
      </c>
      <c r="K173" s="17">
        <f>IF($C173="","",$C173-TODAY())</f>
        <v/>
      </c>
      <c r="L173" s="15">
        <f>IF($A173="","",N($D173)&amp;"/"&amp;IMPOSTAZIONI!$C$5)</f>
        <v/>
      </c>
      <c r="M173" s="15">
        <f>IF($S173="","",IF($S173="RECUPERA CON INCENTIVO",INCENTIVI!$C$7,IF($S173="RICHIAMO MANTENIMENTO",INCENTIVI!$C$6,IF(OR($S173="FUORI FINESTRA",$S173="ULTIMA SEDUTA"),INCENTIVI!$C$5,""))))</f>
        <v/>
      </c>
      <c r="N173" s="18" t="n"/>
      <c r="O173" s="19">
        <f>IF($A173="","",N($D173)*N($N173))</f>
        <v/>
      </c>
      <c r="P173" s="19">
        <f>IF($A173="","",MAX(0,(IMPOSTAZIONI!$C$5-N($D173))*N($N173)))</f>
        <v/>
      </c>
      <c r="Q173" s="13" t="n"/>
      <c r="R173" s="11" t="n"/>
      <c r="S173" s="15">
        <f>IF($A173="","",IF(AND($C173&lt;&gt;"",$C173&lt;TODAY(),OR($I173="",$I173&lt;$C173)),"APPUNTAMENTO SALTATO",IF(AND($C173&lt;&gt;"",$C173-TODAY()=1),"CONFERMA DOMANI",IF(AND($C173&lt;&gt;"",$C173-TODAY()=IMPOSTAZIONI!$C$8),"CHIAMA PER CONFERMA",IF(AND($C173&lt;&gt;"",$C173&gt;=TODAY()),"",IF($E173="Sospesa","",IF($E173="Persa","RECUPERA CON INCENTIVO",IF(AND($I173&lt;&gt;"",TODAY()&gt;=EDATE($I173,IMPOSTAZIONI!$C$10)),"RECUPERA CON INCENTIVO",IF($E173="Mantenimento",IF(AND($I173&lt;&gt;"",TODAY()-$I173&gt;=IMPOSTAZIONI!$C$9),"RICHIAMO MANTENIMENTO",""),IF($E173="In ciclo",IF(N($D173)&gt;=IMPOSTAZIONI!$C$5,"ULTIMA SEDUTA",IF(AND($I173&lt;&gt;"",TODAY()-$I173&gt;IMPOSTAZIONI!$C$7),"FUORI FINESTRA","PRENDI APPUNTAMENTO")),IF($E173="Da contattare","PRENDI APPUNTAMENTO","")))))))))))</f>
        <v/>
      </c>
      <c r="T173" s="17">
        <f>IF($S173="","",IFERROR(MATCH($S173,IMPOSTAZIONI!$F$5:$F$12,0),9)*100000000+(9999-MIN(9999,ROUND(N($O173)/100,0)))*10000+ROW())</f>
        <v/>
      </c>
    </row>
    <row r="174">
      <c r="A174" s="11" t="n"/>
      <c r="B174" s="12">
        <f>IF($S174="","",IFERROR(MATCH($S174,IMPOSTAZIONI!$F$5:$F$12,0),9)&amp;" · "&amp;$S174)</f>
        <v/>
      </c>
      <c r="C174" s="13" t="n"/>
      <c r="D174" s="14" t="n"/>
      <c r="E174" s="11" t="n"/>
      <c r="F174" s="15">
        <f>IF($A174="","",IF(LEN(IF(AND($C174&lt;&gt;"",$C174=TODAY())," · oggi in centro","")&amp;IF(AND($C174&lt;&gt;"",$C174&gt;=TODAY(),N($D174)+1&gt;=IMPOSTAZIONI!$C$5)," · ultima del ciclo, proponi il mantenimento","")&amp;IF(AND($C174&lt;&gt;"",$C174&gt;=TODAY(),$I174&lt;&gt;"",$C174-$I174&lt;IMPOSTAZIONI!$C$6)," · rientro anticipato, meno di "&amp;IMPOSTAZIONI!$C$6&amp;" giorni","")&amp;IF(AND($C174&lt;&gt;"",$C174&gt;=TODAY(),$I174&lt;&gt;"",$C174-$I174&gt;IMPOSTAZIONI!$C$7)," · rientro oltre "&amp;IMPOSTAZIONI!$C$7&amp;" giorni",""))=0,"",MID(IF(AND($C174&lt;&gt;"",$C174=TODAY())," · oggi in centro","")&amp;IF(AND($C174&lt;&gt;"",$C174&gt;=TODAY(),N($D174)+1&gt;=IMPOSTAZIONI!$C$5)," · ultima del ciclo, proponi il mantenimento","")&amp;IF(AND($C174&lt;&gt;"",$C174&gt;=TODAY(),$I174&lt;&gt;"",$C174-$I174&lt;IMPOSTAZIONI!$C$6)," · rientro anticipato, meno di "&amp;IMPOSTAZIONI!$C$6&amp;" giorni","")&amp;IF(AND($C174&lt;&gt;"",$C174&gt;=TODAY(),$I174&lt;&gt;"",$C174-$I174&gt;IMPOSTAZIONI!$C$7)," · rientro oltre "&amp;IMPOSTAZIONI!$C$7&amp;" giorni",""),4,300)))</f>
        <v/>
      </c>
      <c r="G174" s="16" t="n"/>
      <c r="H174" s="11" t="n"/>
      <c r="I174" s="13" t="n"/>
      <c r="J174" s="17">
        <f>IF($I174="","",TODAY()-$I174)</f>
        <v/>
      </c>
      <c r="K174" s="17">
        <f>IF($C174="","",$C174-TODAY())</f>
        <v/>
      </c>
      <c r="L174" s="15">
        <f>IF($A174="","",N($D174)&amp;"/"&amp;IMPOSTAZIONI!$C$5)</f>
        <v/>
      </c>
      <c r="M174" s="15">
        <f>IF($S174="","",IF($S174="RECUPERA CON INCENTIVO",INCENTIVI!$C$7,IF($S174="RICHIAMO MANTENIMENTO",INCENTIVI!$C$6,IF(OR($S174="FUORI FINESTRA",$S174="ULTIMA SEDUTA"),INCENTIVI!$C$5,""))))</f>
        <v/>
      </c>
      <c r="N174" s="18" t="n"/>
      <c r="O174" s="19">
        <f>IF($A174="","",N($D174)*N($N174))</f>
        <v/>
      </c>
      <c r="P174" s="19">
        <f>IF($A174="","",MAX(0,(IMPOSTAZIONI!$C$5-N($D174))*N($N174)))</f>
        <v/>
      </c>
      <c r="Q174" s="13" t="n"/>
      <c r="R174" s="11" t="n"/>
      <c r="S174" s="15">
        <f>IF($A174="","",IF(AND($C174&lt;&gt;"",$C174&lt;TODAY(),OR($I174="",$I174&lt;$C174)),"APPUNTAMENTO SALTATO",IF(AND($C174&lt;&gt;"",$C174-TODAY()=1),"CONFERMA DOMANI",IF(AND($C174&lt;&gt;"",$C174-TODAY()=IMPOSTAZIONI!$C$8),"CHIAMA PER CONFERMA",IF(AND($C174&lt;&gt;"",$C174&gt;=TODAY()),"",IF($E174="Sospesa","",IF($E174="Persa","RECUPERA CON INCENTIVO",IF(AND($I174&lt;&gt;"",TODAY()&gt;=EDATE($I174,IMPOSTAZIONI!$C$10)),"RECUPERA CON INCENTIVO",IF($E174="Mantenimento",IF(AND($I174&lt;&gt;"",TODAY()-$I174&gt;=IMPOSTAZIONI!$C$9),"RICHIAMO MANTENIMENTO",""),IF($E174="In ciclo",IF(N($D174)&gt;=IMPOSTAZIONI!$C$5,"ULTIMA SEDUTA",IF(AND($I174&lt;&gt;"",TODAY()-$I174&gt;IMPOSTAZIONI!$C$7),"FUORI FINESTRA","PRENDI APPUNTAMENTO")),IF($E174="Da contattare","PRENDI APPUNTAMENTO","")))))))))))</f>
        <v/>
      </c>
      <c r="T174" s="17">
        <f>IF($S174="","",IFERROR(MATCH($S174,IMPOSTAZIONI!$F$5:$F$12,0),9)*100000000+(9999-MIN(9999,ROUND(N($O174)/100,0)))*10000+ROW())</f>
        <v/>
      </c>
    </row>
    <row r="175">
      <c r="A175" s="11" t="n"/>
      <c r="B175" s="12">
        <f>IF($S175="","",IFERROR(MATCH($S175,IMPOSTAZIONI!$F$5:$F$12,0),9)&amp;" · "&amp;$S175)</f>
        <v/>
      </c>
      <c r="C175" s="13" t="n"/>
      <c r="D175" s="14" t="n"/>
      <c r="E175" s="11" t="n"/>
      <c r="F175" s="15">
        <f>IF($A175="","",IF(LEN(IF(AND($C175&lt;&gt;"",$C175=TODAY())," · oggi in centro","")&amp;IF(AND($C175&lt;&gt;"",$C175&gt;=TODAY(),N($D175)+1&gt;=IMPOSTAZIONI!$C$5)," · ultima del ciclo, proponi il mantenimento","")&amp;IF(AND($C175&lt;&gt;"",$C175&gt;=TODAY(),$I175&lt;&gt;"",$C175-$I175&lt;IMPOSTAZIONI!$C$6)," · rientro anticipato, meno di "&amp;IMPOSTAZIONI!$C$6&amp;" giorni","")&amp;IF(AND($C175&lt;&gt;"",$C175&gt;=TODAY(),$I175&lt;&gt;"",$C175-$I175&gt;IMPOSTAZIONI!$C$7)," · rientro oltre "&amp;IMPOSTAZIONI!$C$7&amp;" giorni",""))=0,"",MID(IF(AND($C175&lt;&gt;"",$C175=TODAY())," · oggi in centro","")&amp;IF(AND($C175&lt;&gt;"",$C175&gt;=TODAY(),N($D175)+1&gt;=IMPOSTAZIONI!$C$5)," · ultima del ciclo, proponi il mantenimento","")&amp;IF(AND($C175&lt;&gt;"",$C175&gt;=TODAY(),$I175&lt;&gt;"",$C175-$I175&lt;IMPOSTAZIONI!$C$6)," · rientro anticipato, meno di "&amp;IMPOSTAZIONI!$C$6&amp;" giorni","")&amp;IF(AND($C175&lt;&gt;"",$C175&gt;=TODAY(),$I175&lt;&gt;"",$C175-$I175&gt;IMPOSTAZIONI!$C$7)," · rientro oltre "&amp;IMPOSTAZIONI!$C$7&amp;" giorni",""),4,300)))</f>
        <v/>
      </c>
      <c r="G175" s="16" t="n"/>
      <c r="H175" s="11" t="n"/>
      <c r="I175" s="13" t="n"/>
      <c r="J175" s="17">
        <f>IF($I175="","",TODAY()-$I175)</f>
        <v/>
      </c>
      <c r="K175" s="17">
        <f>IF($C175="","",$C175-TODAY())</f>
        <v/>
      </c>
      <c r="L175" s="15">
        <f>IF($A175="","",N($D175)&amp;"/"&amp;IMPOSTAZIONI!$C$5)</f>
        <v/>
      </c>
      <c r="M175" s="15">
        <f>IF($S175="","",IF($S175="RECUPERA CON INCENTIVO",INCENTIVI!$C$7,IF($S175="RICHIAMO MANTENIMENTO",INCENTIVI!$C$6,IF(OR($S175="FUORI FINESTRA",$S175="ULTIMA SEDUTA"),INCENTIVI!$C$5,""))))</f>
        <v/>
      </c>
      <c r="N175" s="18" t="n"/>
      <c r="O175" s="19">
        <f>IF($A175="","",N($D175)*N($N175))</f>
        <v/>
      </c>
      <c r="P175" s="19">
        <f>IF($A175="","",MAX(0,(IMPOSTAZIONI!$C$5-N($D175))*N($N175)))</f>
        <v/>
      </c>
      <c r="Q175" s="13" t="n"/>
      <c r="R175" s="11" t="n"/>
      <c r="S175" s="15">
        <f>IF($A175="","",IF(AND($C175&lt;&gt;"",$C175&lt;TODAY(),OR($I175="",$I175&lt;$C175)),"APPUNTAMENTO SALTATO",IF(AND($C175&lt;&gt;"",$C175-TODAY()=1),"CONFERMA DOMANI",IF(AND($C175&lt;&gt;"",$C175-TODAY()=IMPOSTAZIONI!$C$8),"CHIAMA PER CONFERMA",IF(AND($C175&lt;&gt;"",$C175&gt;=TODAY()),"",IF($E175="Sospesa","",IF($E175="Persa","RECUPERA CON INCENTIVO",IF(AND($I175&lt;&gt;"",TODAY()&gt;=EDATE($I175,IMPOSTAZIONI!$C$10)),"RECUPERA CON INCENTIVO",IF($E175="Mantenimento",IF(AND($I175&lt;&gt;"",TODAY()-$I175&gt;=IMPOSTAZIONI!$C$9),"RICHIAMO MANTENIMENTO",""),IF($E175="In ciclo",IF(N($D175)&gt;=IMPOSTAZIONI!$C$5,"ULTIMA SEDUTA",IF(AND($I175&lt;&gt;"",TODAY()-$I175&gt;IMPOSTAZIONI!$C$7),"FUORI FINESTRA","PRENDI APPUNTAMENTO")),IF($E175="Da contattare","PRENDI APPUNTAMENTO","")))))))))))</f>
        <v/>
      </c>
      <c r="T175" s="17">
        <f>IF($S175="","",IFERROR(MATCH($S175,IMPOSTAZIONI!$F$5:$F$12,0),9)*100000000+(9999-MIN(9999,ROUND(N($O175)/100,0)))*10000+ROW())</f>
        <v/>
      </c>
    </row>
    <row r="176">
      <c r="A176" s="11" t="n"/>
      <c r="B176" s="12">
        <f>IF($S176="","",IFERROR(MATCH($S176,IMPOSTAZIONI!$F$5:$F$12,0),9)&amp;" · "&amp;$S176)</f>
        <v/>
      </c>
      <c r="C176" s="13" t="n"/>
      <c r="D176" s="14" t="n"/>
      <c r="E176" s="11" t="n"/>
      <c r="F176" s="15">
        <f>IF($A176="","",IF(LEN(IF(AND($C176&lt;&gt;"",$C176=TODAY())," · oggi in centro","")&amp;IF(AND($C176&lt;&gt;"",$C176&gt;=TODAY(),N($D176)+1&gt;=IMPOSTAZIONI!$C$5)," · ultima del ciclo, proponi il mantenimento","")&amp;IF(AND($C176&lt;&gt;"",$C176&gt;=TODAY(),$I176&lt;&gt;"",$C176-$I176&lt;IMPOSTAZIONI!$C$6)," · rientro anticipato, meno di "&amp;IMPOSTAZIONI!$C$6&amp;" giorni","")&amp;IF(AND($C176&lt;&gt;"",$C176&gt;=TODAY(),$I176&lt;&gt;"",$C176-$I176&gt;IMPOSTAZIONI!$C$7)," · rientro oltre "&amp;IMPOSTAZIONI!$C$7&amp;" giorni",""))=0,"",MID(IF(AND($C176&lt;&gt;"",$C176=TODAY())," · oggi in centro","")&amp;IF(AND($C176&lt;&gt;"",$C176&gt;=TODAY(),N($D176)+1&gt;=IMPOSTAZIONI!$C$5)," · ultima del ciclo, proponi il mantenimento","")&amp;IF(AND($C176&lt;&gt;"",$C176&gt;=TODAY(),$I176&lt;&gt;"",$C176-$I176&lt;IMPOSTAZIONI!$C$6)," · rientro anticipato, meno di "&amp;IMPOSTAZIONI!$C$6&amp;" giorni","")&amp;IF(AND($C176&lt;&gt;"",$C176&gt;=TODAY(),$I176&lt;&gt;"",$C176-$I176&gt;IMPOSTAZIONI!$C$7)," · rientro oltre "&amp;IMPOSTAZIONI!$C$7&amp;" giorni",""),4,300)))</f>
        <v/>
      </c>
      <c r="G176" s="16" t="n"/>
      <c r="H176" s="11" t="n"/>
      <c r="I176" s="13" t="n"/>
      <c r="J176" s="17">
        <f>IF($I176="","",TODAY()-$I176)</f>
        <v/>
      </c>
      <c r="K176" s="17">
        <f>IF($C176="","",$C176-TODAY())</f>
        <v/>
      </c>
      <c r="L176" s="15">
        <f>IF($A176="","",N($D176)&amp;"/"&amp;IMPOSTAZIONI!$C$5)</f>
        <v/>
      </c>
      <c r="M176" s="15">
        <f>IF($S176="","",IF($S176="RECUPERA CON INCENTIVO",INCENTIVI!$C$7,IF($S176="RICHIAMO MANTENIMENTO",INCENTIVI!$C$6,IF(OR($S176="FUORI FINESTRA",$S176="ULTIMA SEDUTA"),INCENTIVI!$C$5,""))))</f>
        <v/>
      </c>
      <c r="N176" s="18" t="n"/>
      <c r="O176" s="19">
        <f>IF($A176="","",N($D176)*N($N176))</f>
        <v/>
      </c>
      <c r="P176" s="19">
        <f>IF($A176="","",MAX(0,(IMPOSTAZIONI!$C$5-N($D176))*N($N176)))</f>
        <v/>
      </c>
      <c r="Q176" s="13" t="n"/>
      <c r="R176" s="11" t="n"/>
      <c r="S176" s="15">
        <f>IF($A176="","",IF(AND($C176&lt;&gt;"",$C176&lt;TODAY(),OR($I176="",$I176&lt;$C176)),"APPUNTAMENTO SALTATO",IF(AND($C176&lt;&gt;"",$C176-TODAY()=1),"CONFERMA DOMANI",IF(AND($C176&lt;&gt;"",$C176-TODAY()=IMPOSTAZIONI!$C$8),"CHIAMA PER CONFERMA",IF(AND($C176&lt;&gt;"",$C176&gt;=TODAY()),"",IF($E176="Sospesa","",IF($E176="Persa","RECUPERA CON INCENTIVO",IF(AND($I176&lt;&gt;"",TODAY()&gt;=EDATE($I176,IMPOSTAZIONI!$C$10)),"RECUPERA CON INCENTIVO",IF($E176="Mantenimento",IF(AND($I176&lt;&gt;"",TODAY()-$I176&gt;=IMPOSTAZIONI!$C$9),"RICHIAMO MANTENIMENTO",""),IF($E176="In ciclo",IF(N($D176)&gt;=IMPOSTAZIONI!$C$5,"ULTIMA SEDUTA",IF(AND($I176&lt;&gt;"",TODAY()-$I176&gt;IMPOSTAZIONI!$C$7),"FUORI FINESTRA","PRENDI APPUNTAMENTO")),IF($E176="Da contattare","PRENDI APPUNTAMENTO","")))))))))))</f>
        <v/>
      </c>
      <c r="T176" s="17">
        <f>IF($S176="","",IFERROR(MATCH($S176,IMPOSTAZIONI!$F$5:$F$12,0),9)*100000000+(9999-MIN(9999,ROUND(N($O176)/100,0)))*10000+ROW())</f>
        <v/>
      </c>
    </row>
    <row r="177">
      <c r="A177" s="11" t="n"/>
      <c r="B177" s="12">
        <f>IF($S177="","",IFERROR(MATCH($S177,IMPOSTAZIONI!$F$5:$F$12,0),9)&amp;" · "&amp;$S177)</f>
        <v/>
      </c>
      <c r="C177" s="13" t="n"/>
      <c r="D177" s="14" t="n"/>
      <c r="E177" s="11" t="n"/>
      <c r="F177" s="15">
        <f>IF($A177="","",IF(LEN(IF(AND($C177&lt;&gt;"",$C177=TODAY())," · oggi in centro","")&amp;IF(AND($C177&lt;&gt;"",$C177&gt;=TODAY(),N($D177)+1&gt;=IMPOSTAZIONI!$C$5)," · ultima del ciclo, proponi il mantenimento","")&amp;IF(AND($C177&lt;&gt;"",$C177&gt;=TODAY(),$I177&lt;&gt;"",$C177-$I177&lt;IMPOSTAZIONI!$C$6)," · rientro anticipato, meno di "&amp;IMPOSTAZIONI!$C$6&amp;" giorni","")&amp;IF(AND($C177&lt;&gt;"",$C177&gt;=TODAY(),$I177&lt;&gt;"",$C177-$I177&gt;IMPOSTAZIONI!$C$7)," · rientro oltre "&amp;IMPOSTAZIONI!$C$7&amp;" giorni",""))=0,"",MID(IF(AND($C177&lt;&gt;"",$C177=TODAY())," · oggi in centro","")&amp;IF(AND($C177&lt;&gt;"",$C177&gt;=TODAY(),N($D177)+1&gt;=IMPOSTAZIONI!$C$5)," · ultima del ciclo, proponi il mantenimento","")&amp;IF(AND($C177&lt;&gt;"",$C177&gt;=TODAY(),$I177&lt;&gt;"",$C177-$I177&lt;IMPOSTAZIONI!$C$6)," · rientro anticipato, meno di "&amp;IMPOSTAZIONI!$C$6&amp;" giorni","")&amp;IF(AND($C177&lt;&gt;"",$C177&gt;=TODAY(),$I177&lt;&gt;"",$C177-$I177&gt;IMPOSTAZIONI!$C$7)," · rientro oltre "&amp;IMPOSTAZIONI!$C$7&amp;" giorni",""),4,300)))</f>
        <v/>
      </c>
      <c r="G177" s="16" t="n"/>
      <c r="H177" s="11" t="n"/>
      <c r="I177" s="13" t="n"/>
      <c r="J177" s="17">
        <f>IF($I177="","",TODAY()-$I177)</f>
        <v/>
      </c>
      <c r="K177" s="17">
        <f>IF($C177="","",$C177-TODAY())</f>
        <v/>
      </c>
      <c r="L177" s="15">
        <f>IF($A177="","",N($D177)&amp;"/"&amp;IMPOSTAZIONI!$C$5)</f>
        <v/>
      </c>
      <c r="M177" s="15">
        <f>IF($S177="","",IF($S177="RECUPERA CON INCENTIVO",INCENTIVI!$C$7,IF($S177="RICHIAMO MANTENIMENTO",INCENTIVI!$C$6,IF(OR($S177="FUORI FINESTRA",$S177="ULTIMA SEDUTA"),INCENTIVI!$C$5,""))))</f>
        <v/>
      </c>
      <c r="N177" s="18" t="n"/>
      <c r="O177" s="19">
        <f>IF($A177="","",N($D177)*N($N177))</f>
        <v/>
      </c>
      <c r="P177" s="19">
        <f>IF($A177="","",MAX(0,(IMPOSTAZIONI!$C$5-N($D177))*N($N177)))</f>
        <v/>
      </c>
      <c r="Q177" s="13" t="n"/>
      <c r="R177" s="11" t="n"/>
      <c r="S177" s="15">
        <f>IF($A177="","",IF(AND($C177&lt;&gt;"",$C177&lt;TODAY(),OR($I177="",$I177&lt;$C177)),"APPUNTAMENTO SALTATO",IF(AND($C177&lt;&gt;"",$C177-TODAY()=1),"CONFERMA DOMANI",IF(AND($C177&lt;&gt;"",$C177-TODAY()=IMPOSTAZIONI!$C$8),"CHIAMA PER CONFERMA",IF(AND($C177&lt;&gt;"",$C177&gt;=TODAY()),"",IF($E177="Sospesa","",IF($E177="Persa","RECUPERA CON INCENTIVO",IF(AND($I177&lt;&gt;"",TODAY()&gt;=EDATE($I177,IMPOSTAZIONI!$C$10)),"RECUPERA CON INCENTIVO",IF($E177="Mantenimento",IF(AND($I177&lt;&gt;"",TODAY()-$I177&gt;=IMPOSTAZIONI!$C$9),"RICHIAMO MANTENIMENTO",""),IF($E177="In ciclo",IF(N($D177)&gt;=IMPOSTAZIONI!$C$5,"ULTIMA SEDUTA",IF(AND($I177&lt;&gt;"",TODAY()-$I177&gt;IMPOSTAZIONI!$C$7),"FUORI FINESTRA","PRENDI APPUNTAMENTO")),IF($E177="Da contattare","PRENDI APPUNTAMENTO","")))))))))))</f>
        <v/>
      </c>
      <c r="T177" s="17">
        <f>IF($S177="","",IFERROR(MATCH($S177,IMPOSTAZIONI!$F$5:$F$12,0),9)*100000000+(9999-MIN(9999,ROUND(N($O177)/100,0)))*10000+ROW())</f>
        <v/>
      </c>
    </row>
    <row r="178">
      <c r="A178" s="11" t="n"/>
      <c r="B178" s="12">
        <f>IF($S178="","",IFERROR(MATCH($S178,IMPOSTAZIONI!$F$5:$F$12,0),9)&amp;" · "&amp;$S178)</f>
        <v/>
      </c>
      <c r="C178" s="13" t="n"/>
      <c r="D178" s="14" t="n"/>
      <c r="E178" s="11" t="n"/>
      <c r="F178" s="15">
        <f>IF($A178="","",IF(LEN(IF(AND($C178&lt;&gt;"",$C178=TODAY())," · oggi in centro","")&amp;IF(AND($C178&lt;&gt;"",$C178&gt;=TODAY(),N($D178)+1&gt;=IMPOSTAZIONI!$C$5)," · ultima del ciclo, proponi il mantenimento","")&amp;IF(AND($C178&lt;&gt;"",$C178&gt;=TODAY(),$I178&lt;&gt;"",$C178-$I178&lt;IMPOSTAZIONI!$C$6)," · rientro anticipato, meno di "&amp;IMPOSTAZIONI!$C$6&amp;" giorni","")&amp;IF(AND($C178&lt;&gt;"",$C178&gt;=TODAY(),$I178&lt;&gt;"",$C178-$I178&gt;IMPOSTAZIONI!$C$7)," · rientro oltre "&amp;IMPOSTAZIONI!$C$7&amp;" giorni",""))=0,"",MID(IF(AND($C178&lt;&gt;"",$C178=TODAY())," · oggi in centro","")&amp;IF(AND($C178&lt;&gt;"",$C178&gt;=TODAY(),N($D178)+1&gt;=IMPOSTAZIONI!$C$5)," · ultima del ciclo, proponi il mantenimento","")&amp;IF(AND($C178&lt;&gt;"",$C178&gt;=TODAY(),$I178&lt;&gt;"",$C178-$I178&lt;IMPOSTAZIONI!$C$6)," · rientro anticipato, meno di "&amp;IMPOSTAZIONI!$C$6&amp;" giorni","")&amp;IF(AND($C178&lt;&gt;"",$C178&gt;=TODAY(),$I178&lt;&gt;"",$C178-$I178&gt;IMPOSTAZIONI!$C$7)," · rientro oltre "&amp;IMPOSTAZIONI!$C$7&amp;" giorni",""),4,300)))</f>
        <v/>
      </c>
      <c r="G178" s="16" t="n"/>
      <c r="H178" s="11" t="n"/>
      <c r="I178" s="13" t="n"/>
      <c r="J178" s="17">
        <f>IF($I178="","",TODAY()-$I178)</f>
        <v/>
      </c>
      <c r="K178" s="17">
        <f>IF($C178="","",$C178-TODAY())</f>
        <v/>
      </c>
      <c r="L178" s="15">
        <f>IF($A178="","",N($D178)&amp;"/"&amp;IMPOSTAZIONI!$C$5)</f>
        <v/>
      </c>
      <c r="M178" s="15">
        <f>IF($S178="","",IF($S178="RECUPERA CON INCENTIVO",INCENTIVI!$C$7,IF($S178="RICHIAMO MANTENIMENTO",INCENTIVI!$C$6,IF(OR($S178="FUORI FINESTRA",$S178="ULTIMA SEDUTA"),INCENTIVI!$C$5,""))))</f>
        <v/>
      </c>
      <c r="N178" s="18" t="n"/>
      <c r="O178" s="19">
        <f>IF($A178="","",N($D178)*N($N178))</f>
        <v/>
      </c>
      <c r="P178" s="19">
        <f>IF($A178="","",MAX(0,(IMPOSTAZIONI!$C$5-N($D178))*N($N178)))</f>
        <v/>
      </c>
      <c r="Q178" s="13" t="n"/>
      <c r="R178" s="11" t="n"/>
      <c r="S178" s="15">
        <f>IF($A178="","",IF(AND($C178&lt;&gt;"",$C178&lt;TODAY(),OR($I178="",$I178&lt;$C178)),"APPUNTAMENTO SALTATO",IF(AND($C178&lt;&gt;"",$C178-TODAY()=1),"CONFERMA DOMANI",IF(AND($C178&lt;&gt;"",$C178-TODAY()=IMPOSTAZIONI!$C$8),"CHIAMA PER CONFERMA",IF(AND($C178&lt;&gt;"",$C178&gt;=TODAY()),"",IF($E178="Sospesa","",IF($E178="Persa","RECUPERA CON INCENTIVO",IF(AND($I178&lt;&gt;"",TODAY()&gt;=EDATE($I178,IMPOSTAZIONI!$C$10)),"RECUPERA CON INCENTIVO",IF($E178="Mantenimento",IF(AND($I178&lt;&gt;"",TODAY()-$I178&gt;=IMPOSTAZIONI!$C$9),"RICHIAMO MANTENIMENTO",""),IF($E178="In ciclo",IF(N($D178)&gt;=IMPOSTAZIONI!$C$5,"ULTIMA SEDUTA",IF(AND($I178&lt;&gt;"",TODAY()-$I178&gt;IMPOSTAZIONI!$C$7),"FUORI FINESTRA","PRENDI APPUNTAMENTO")),IF($E178="Da contattare","PRENDI APPUNTAMENTO","")))))))))))</f>
        <v/>
      </c>
      <c r="T178" s="17">
        <f>IF($S178="","",IFERROR(MATCH($S178,IMPOSTAZIONI!$F$5:$F$12,0),9)*100000000+(9999-MIN(9999,ROUND(N($O178)/100,0)))*10000+ROW())</f>
        <v/>
      </c>
    </row>
    <row r="179">
      <c r="A179" s="11" t="n"/>
      <c r="B179" s="12">
        <f>IF($S179="","",IFERROR(MATCH($S179,IMPOSTAZIONI!$F$5:$F$12,0),9)&amp;" · "&amp;$S179)</f>
        <v/>
      </c>
      <c r="C179" s="13" t="n"/>
      <c r="D179" s="14" t="n"/>
      <c r="E179" s="11" t="n"/>
      <c r="F179" s="15">
        <f>IF($A179="","",IF(LEN(IF(AND($C179&lt;&gt;"",$C179=TODAY())," · oggi in centro","")&amp;IF(AND($C179&lt;&gt;"",$C179&gt;=TODAY(),N($D179)+1&gt;=IMPOSTAZIONI!$C$5)," · ultima del ciclo, proponi il mantenimento","")&amp;IF(AND($C179&lt;&gt;"",$C179&gt;=TODAY(),$I179&lt;&gt;"",$C179-$I179&lt;IMPOSTAZIONI!$C$6)," · rientro anticipato, meno di "&amp;IMPOSTAZIONI!$C$6&amp;" giorni","")&amp;IF(AND($C179&lt;&gt;"",$C179&gt;=TODAY(),$I179&lt;&gt;"",$C179-$I179&gt;IMPOSTAZIONI!$C$7)," · rientro oltre "&amp;IMPOSTAZIONI!$C$7&amp;" giorni",""))=0,"",MID(IF(AND($C179&lt;&gt;"",$C179=TODAY())," · oggi in centro","")&amp;IF(AND($C179&lt;&gt;"",$C179&gt;=TODAY(),N($D179)+1&gt;=IMPOSTAZIONI!$C$5)," · ultima del ciclo, proponi il mantenimento","")&amp;IF(AND($C179&lt;&gt;"",$C179&gt;=TODAY(),$I179&lt;&gt;"",$C179-$I179&lt;IMPOSTAZIONI!$C$6)," · rientro anticipato, meno di "&amp;IMPOSTAZIONI!$C$6&amp;" giorni","")&amp;IF(AND($C179&lt;&gt;"",$C179&gt;=TODAY(),$I179&lt;&gt;"",$C179-$I179&gt;IMPOSTAZIONI!$C$7)," · rientro oltre "&amp;IMPOSTAZIONI!$C$7&amp;" giorni",""),4,300)))</f>
        <v/>
      </c>
      <c r="G179" s="16" t="n"/>
      <c r="H179" s="11" t="n"/>
      <c r="I179" s="13" t="n"/>
      <c r="J179" s="17">
        <f>IF($I179="","",TODAY()-$I179)</f>
        <v/>
      </c>
      <c r="K179" s="17">
        <f>IF($C179="","",$C179-TODAY())</f>
        <v/>
      </c>
      <c r="L179" s="15">
        <f>IF($A179="","",N($D179)&amp;"/"&amp;IMPOSTAZIONI!$C$5)</f>
        <v/>
      </c>
      <c r="M179" s="15">
        <f>IF($S179="","",IF($S179="RECUPERA CON INCENTIVO",INCENTIVI!$C$7,IF($S179="RICHIAMO MANTENIMENTO",INCENTIVI!$C$6,IF(OR($S179="FUORI FINESTRA",$S179="ULTIMA SEDUTA"),INCENTIVI!$C$5,""))))</f>
        <v/>
      </c>
      <c r="N179" s="18" t="n"/>
      <c r="O179" s="19">
        <f>IF($A179="","",N($D179)*N($N179))</f>
        <v/>
      </c>
      <c r="P179" s="19">
        <f>IF($A179="","",MAX(0,(IMPOSTAZIONI!$C$5-N($D179))*N($N179)))</f>
        <v/>
      </c>
      <c r="Q179" s="13" t="n"/>
      <c r="R179" s="11" t="n"/>
      <c r="S179" s="15">
        <f>IF($A179="","",IF(AND($C179&lt;&gt;"",$C179&lt;TODAY(),OR($I179="",$I179&lt;$C179)),"APPUNTAMENTO SALTATO",IF(AND($C179&lt;&gt;"",$C179-TODAY()=1),"CONFERMA DOMANI",IF(AND($C179&lt;&gt;"",$C179-TODAY()=IMPOSTAZIONI!$C$8),"CHIAMA PER CONFERMA",IF(AND($C179&lt;&gt;"",$C179&gt;=TODAY()),"",IF($E179="Sospesa","",IF($E179="Persa","RECUPERA CON INCENTIVO",IF(AND($I179&lt;&gt;"",TODAY()&gt;=EDATE($I179,IMPOSTAZIONI!$C$10)),"RECUPERA CON INCENTIVO",IF($E179="Mantenimento",IF(AND($I179&lt;&gt;"",TODAY()-$I179&gt;=IMPOSTAZIONI!$C$9),"RICHIAMO MANTENIMENTO",""),IF($E179="In ciclo",IF(N($D179)&gt;=IMPOSTAZIONI!$C$5,"ULTIMA SEDUTA",IF(AND($I179&lt;&gt;"",TODAY()-$I179&gt;IMPOSTAZIONI!$C$7),"FUORI FINESTRA","PRENDI APPUNTAMENTO")),IF($E179="Da contattare","PRENDI APPUNTAMENTO","")))))))))))</f>
        <v/>
      </c>
      <c r="T179" s="17">
        <f>IF($S179="","",IFERROR(MATCH($S179,IMPOSTAZIONI!$F$5:$F$12,0),9)*100000000+(9999-MIN(9999,ROUND(N($O179)/100,0)))*10000+ROW())</f>
        <v/>
      </c>
    </row>
    <row r="180">
      <c r="A180" s="11" t="n"/>
      <c r="B180" s="12">
        <f>IF($S180="","",IFERROR(MATCH($S180,IMPOSTAZIONI!$F$5:$F$12,0),9)&amp;" · "&amp;$S180)</f>
        <v/>
      </c>
      <c r="C180" s="13" t="n"/>
      <c r="D180" s="14" t="n"/>
      <c r="E180" s="11" t="n"/>
      <c r="F180" s="15">
        <f>IF($A180="","",IF(LEN(IF(AND($C180&lt;&gt;"",$C180=TODAY())," · oggi in centro","")&amp;IF(AND($C180&lt;&gt;"",$C180&gt;=TODAY(),N($D180)+1&gt;=IMPOSTAZIONI!$C$5)," · ultima del ciclo, proponi il mantenimento","")&amp;IF(AND($C180&lt;&gt;"",$C180&gt;=TODAY(),$I180&lt;&gt;"",$C180-$I180&lt;IMPOSTAZIONI!$C$6)," · rientro anticipato, meno di "&amp;IMPOSTAZIONI!$C$6&amp;" giorni","")&amp;IF(AND($C180&lt;&gt;"",$C180&gt;=TODAY(),$I180&lt;&gt;"",$C180-$I180&gt;IMPOSTAZIONI!$C$7)," · rientro oltre "&amp;IMPOSTAZIONI!$C$7&amp;" giorni",""))=0,"",MID(IF(AND($C180&lt;&gt;"",$C180=TODAY())," · oggi in centro","")&amp;IF(AND($C180&lt;&gt;"",$C180&gt;=TODAY(),N($D180)+1&gt;=IMPOSTAZIONI!$C$5)," · ultima del ciclo, proponi il mantenimento","")&amp;IF(AND($C180&lt;&gt;"",$C180&gt;=TODAY(),$I180&lt;&gt;"",$C180-$I180&lt;IMPOSTAZIONI!$C$6)," · rientro anticipato, meno di "&amp;IMPOSTAZIONI!$C$6&amp;" giorni","")&amp;IF(AND($C180&lt;&gt;"",$C180&gt;=TODAY(),$I180&lt;&gt;"",$C180-$I180&gt;IMPOSTAZIONI!$C$7)," · rientro oltre "&amp;IMPOSTAZIONI!$C$7&amp;" giorni",""),4,300)))</f>
        <v/>
      </c>
      <c r="G180" s="16" t="n"/>
      <c r="H180" s="11" t="n"/>
      <c r="I180" s="13" t="n"/>
      <c r="J180" s="17">
        <f>IF($I180="","",TODAY()-$I180)</f>
        <v/>
      </c>
      <c r="K180" s="17">
        <f>IF($C180="","",$C180-TODAY())</f>
        <v/>
      </c>
      <c r="L180" s="15">
        <f>IF($A180="","",N($D180)&amp;"/"&amp;IMPOSTAZIONI!$C$5)</f>
        <v/>
      </c>
      <c r="M180" s="15">
        <f>IF($S180="","",IF($S180="RECUPERA CON INCENTIVO",INCENTIVI!$C$7,IF($S180="RICHIAMO MANTENIMENTO",INCENTIVI!$C$6,IF(OR($S180="FUORI FINESTRA",$S180="ULTIMA SEDUTA"),INCENTIVI!$C$5,""))))</f>
        <v/>
      </c>
      <c r="N180" s="18" t="n"/>
      <c r="O180" s="19">
        <f>IF($A180="","",N($D180)*N($N180))</f>
        <v/>
      </c>
      <c r="P180" s="19">
        <f>IF($A180="","",MAX(0,(IMPOSTAZIONI!$C$5-N($D180))*N($N180)))</f>
        <v/>
      </c>
      <c r="Q180" s="13" t="n"/>
      <c r="R180" s="11" t="n"/>
      <c r="S180" s="15">
        <f>IF($A180="","",IF(AND($C180&lt;&gt;"",$C180&lt;TODAY(),OR($I180="",$I180&lt;$C180)),"APPUNTAMENTO SALTATO",IF(AND($C180&lt;&gt;"",$C180-TODAY()=1),"CONFERMA DOMANI",IF(AND($C180&lt;&gt;"",$C180-TODAY()=IMPOSTAZIONI!$C$8),"CHIAMA PER CONFERMA",IF(AND($C180&lt;&gt;"",$C180&gt;=TODAY()),"",IF($E180="Sospesa","",IF($E180="Persa","RECUPERA CON INCENTIVO",IF(AND($I180&lt;&gt;"",TODAY()&gt;=EDATE($I180,IMPOSTAZIONI!$C$10)),"RECUPERA CON INCENTIVO",IF($E180="Mantenimento",IF(AND($I180&lt;&gt;"",TODAY()-$I180&gt;=IMPOSTAZIONI!$C$9),"RICHIAMO MANTENIMENTO",""),IF($E180="In ciclo",IF(N($D180)&gt;=IMPOSTAZIONI!$C$5,"ULTIMA SEDUTA",IF(AND($I180&lt;&gt;"",TODAY()-$I180&gt;IMPOSTAZIONI!$C$7),"FUORI FINESTRA","PRENDI APPUNTAMENTO")),IF($E180="Da contattare","PRENDI APPUNTAMENTO","")))))))))))</f>
        <v/>
      </c>
      <c r="T180" s="17">
        <f>IF($S180="","",IFERROR(MATCH($S180,IMPOSTAZIONI!$F$5:$F$12,0),9)*100000000+(9999-MIN(9999,ROUND(N($O180)/100,0)))*10000+ROW())</f>
        <v/>
      </c>
    </row>
    <row r="181">
      <c r="A181" s="11" t="n"/>
      <c r="B181" s="12">
        <f>IF($S181="","",IFERROR(MATCH($S181,IMPOSTAZIONI!$F$5:$F$12,0),9)&amp;" · "&amp;$S181)</f>
        <v/>
      </c>
      <c r="C181" s="13" t="n"/>
      <c r="D181" s="14" t="n"/>
      <c r="E181" s="11" t="n"/>
      <c r="F181" s="15">
        <f>IF($A181="","",IF(LEN(IF(AND($C181&lt;&gt;"",$C181=TODAY())," · oggi in centro","")&amp;IF(AND($C181&lt;&gt;"",$C181&gt;=TODAY(),N($D181)+1&gt;=IMPOSTAZIONI!$C$5)," · ultima del ciclo, proponi il mantenimento","")&amp;IF(AND($C181&lt;&gt;"",$C181&gt;=TODAY(),$I181&lt;&gt;"",$C181-$I181&lt;IMPOSTAZIONI!$C$6)," · rientro anticipato, meno di "&amp;IMPOSTAZIONI!$C$6&amp;" giorni","")&amp;IF(AND($C181&lt;&gt;"",$C181&gt;=TODAY(),$I181&lt;&gt;"",$C181-$I181&gt;IMPOSTAZIONI!$C$7)," · rientro oltre "&amp;IMPOSTAZIONI!$C$7&amp;" giorni",""))=0,"",MID(IF(AND($C181&lt;&gt;"",$C181=TODAY())," · oggi in centro","")&amp;IF(AND($C181&lt;&gt;"",$C181&gt;=TODAY(),N($D181)+1&gt;=IMPOSTAZIONI!$C$5)," · ultima del ciclo, proponi il mantenimento","")&amp;IF(AND($C181&lt;&gt;"",$C181&gt;=TODAY(),$I181&lt;&gt;"",$C181-$I181&lt;IMPOSTAZIONI!$C$6)," · rientro anticipato, meno di "&amp;IMPOSTAZIONI!$C$6&amp;" giorni","")&amp;IF(AND($C181&lt;&gt;"",$C181&gt;=TODAY(),$I181&lt;&gt;"",$C181-$I181&gt;IMPOSTAZIONI!$C$7)," · rientro oltre "&amp;IMPOSTAZIONI!$C$7&amp;" giorni",""),4,300)))</f>
        <v/>
      </c>
      <c r="G181" s="16" t="n"/>
      <c r="H181" s="11" t="n"/>
      <c r="I181" s="13" t="n"/>
      <c r="J181" s="17">
        <f>IF($I181="","",TODAY()-$I181)</f>
        <v/>
      </c>
      <c r="K181" s="17">
        <f>IF($C181="","",$C181-TODAY())</f>
        <v/>
      </c>
      <c r="L181" s="15">
        <f>IF($A181="","",N($D181)&amp;"/"&amp;IMPOSTAZIONI!$C$5)</f>
        <v/>
      </c>
      <c r="M181" s="15">
        <f>IF($S181="","",IF($S181="RECUPERA CON INCENTIVO",INCENTIVI!$C$7,IF($S181="RICHIAMO MANTENIMENTO",INCENTIVI!$C$6,IF(OR($S181="FUORI FINESTRA",$S181="ULTIMA SEDUTA"),INCENTIVI!$C$5,""))))</f>
        <v/>
      </c>
      <c r="N181" s="18" t="n"/>
      <c r="O181" s="19">
        <f>IF($A181="","",N($D181)*N($N181))</f>
        <v/>
      </c>
      <c r="P181" s="19">
        <f>IF($A181="","",MAX(0,(IMPOSTAZIONI!$C$5-N($D181))*N($N181)))</f>
        <v/>
      </c>
      <c r="Q181" s="13" t="n"/>
      <c r="R181" s="11" t="n"/>
      <c r="S181" s="15">
        <f>IF($A181="","",IF(AND($C181&lt;&gt;"",$C181&lt;TODAY(),OR($I181="",$I181&lt;$C181)),"APPUNTAMENTO SALTATO",IF(AND($C181&lt;&gt;"",$C181-TODAY()=1),"CONFERMA DOMANI",IF(AND($C181&lt;&gt;"",$C181-TODAY()=IMPOSTAZIONI!$C$8),"CHIAMA PER CONFERMA",IF(AND($C181&lt;&gt;"",$C181&gt;=TODAY()),"",IF($E181="Sospesa","",IF($E181="Persa","RECUPERA CON INCENTIVO",IF(AND($I181&lt;&gt;"",TODAY()&gt;=EDATE($I181,IMPOSTAZIONI!$C$10)),"RECUPERA CON INCENTIVO",IF($E181="Mantenimento",IF(AND($I181&lt;&gt;"",TODAY()-$I181&gt;=IMPOSTAZIONI!$C$9),"RICHIAMO MANTENIMENTO",""),IF($E181="In ciclo",IF(N($D181)&gt;=IMPOSTAZIONI!$C$5,"ULTIMA SEDUTA",IF(AND($I181&lt;&gt;"",TODAY()-$I181&gt;IMPOSTAZIONI!$C$7),"FUORI FINESTRA","PRENDI APPUNTAMENTO")),IF($E181="Da contattare","PRENDI APPUNTAMENTO","")))))))))))</f>
        <v/>
      </c>
      <c r="T181" s="17">
        <f>IF($S181="","",IFERROR(MATCH($S181,IMPOSTAZIONI!$F$5:$F$12,0),9)*100000000+(9999-MIN(9999,ROUND(N($O181)/100,0)))*10000+ROW())</f>
        <v/>
      </c>
    </row>
    <row r="182">
      <c r="A182" s="11" t="n"/>
      <c r="B182" s="12">
        <f>IF($S182="","",IFERROR(MATCH($S182,IMPOSTAZIONI!$F$5:$F$12,0),9)&amp;" · "&amp;$S182)</f>
        <v/>
      </c>
      <c r="C182" s="13" t="n"/>
      <c r="D182" s="14" t="n"/>
      <c r="E182" s="11" t="n"/>
      <c r="F182" s="15">
        <f>IF($A182="","",IF(LEN(IF(AND($C182&lt;&gt;"",$C182=TODAY())," · oggi in centro","")&amp;IF(AND($C182&lt;&gt;"",$C182&gt;=TODAY(),N($D182)+1&gt;=IMPOSTAZIONI!$C$5)," · ultima del ciclo, proponi il mantenimento","")&amp;IF(AND($C182&lt;&gt;"",$C182&gt;=TODAY(),$I182&lt;&gt;"",$C182-$I182&lt;IMPOSTAZIONI!$C$6)," · rientro anticipato, meno di "&amp;IMPOSTAZIONI!$C$6&amp;" giorni","")&amp;IF(AND($C182&lt;&gt;"",$C182&gt;=TODAY(),$I182&lt;&gt;"",$C182-$I182&gt;IMPOSTAZIONI!$C$7)," · rientro oltre "&amp;IMPOSTAZIONI!$C$7&amp;" giorni",""))=0,"",MID(IF(AND($C182&lt;&gt;"",$C182=TODAY())," · oggi in centro","")&amp;IF(AND($C182&lt;&gt;"",$C182&gt;=TODAY(),N($D182)+1&gt;=IMPOSTAZIONI!$C$5)," · ultima del ciclo, proponi il mantenimento","")&amp;IF(AND($C182&lt;&gt;"",$C182&gt;=TODAY(),$I182&lt;&gt;"",$C182-$I182&lt;IMPOSTAZIONI!$C$6)," · rientro anticipato, meno di "&amp;IMPOSTAZIONI!$C$6&amp;" giorni","")&amp;IF(AND($C182&lt;&gt;"",$C182&gt;=TODAY(),$I182&lt;&gt;"",$C182-$I182&gt;IMPOSTAZIONI!$C$7)," · rientro oltre "&amp;IMPOSTAZIONI!$C$7&amp;" giorni",""),4,300)))</f>
        <v/>
      </c>
      <c r="G182" s="16" t="n"/>
      <c r="H182" s="11" t="n"/>
      <c r="I182" s="13" t="n"/>
      <c r="J182" s="17">
        <f>IF($I182="","",TODAY()-$I182)</f>
        <v/>
      </c>
      <c r="K182" s="17">
        <f>IF($C182="","",$C182-TODAY())</f>
        <v/>
      </c>
      <c r="L182" s="15">
        <f>IF($A182="","",N($D182)&amp;"/"&amp;IMPOSTAZIONI!$C$5)</f>
        <v/>
      </c>
      <c r="M182" s="15">
        <f>IF($S182="","",IF($S182="RECUPERA CON INCENTIVO",INCENTIVI!$C$7,IF($S182="RICHIAMO MANTENIMENTO",INCENTIVI!$C$6,IF(OR($S182="FUORI FINESTRA",$S182="ULTIMA SEDUTA"),INCENTIVI!$C$5,""))))</f>
        <v/>
      </c>
      <c r="N182" s="18" t="n"/>
      <c r="O182" s="19">
        <f>IF($A182="","",N($D182)*N($N182))</f>
        <v/>
      </c>
      <c r="P182" s="19">
        <f>IF($A182="","",MAX(0,(IMPOSTAZIONI!$C$5-N($D182))*N($N182)))</f>
        <v/>
      </c>
      <c r="Q182" s="13" t="n"/>
      <c r="R182" s="11" t="n"/>
      <c r="S182" s="15">
        <f>IF($A182="","",IF(AND($C182&lt;&gt;"",$C182&lt;TODAY(),OR($I182="",$I182&lt;$C182)),"APPUNTAMENTO SALTATO",IF(AND($C182&lt;&gt;"",$C182-TODAY()=1),"CONFERMA DOMANI",IF(AND($C182&lt;&gt;"",$C182-TODAY()=IMPOSTAZIONI!$C$8),"CHIAMA PER CONFERMA",IF(AND($C182&lt;&gt;"",$C182&gt;=TODAY()),"",IF($E182="Sospesa","",IF($E182="Persa","RECUPERA CON INCENTIVO",IF(AND($I182&lt;&gt;"",TODAY()&gt;=EDATE($I182,IMPOSTAZIONI!$C$10)),"RECUPERA CON INCENTIVO",IF($E182="Mantenimento",IF(AND($I182&lt;&gt;"",TODAY()-$I182&gt;=IMPOSTAZIONI!$C$9),"RICHIAMO MANTENIMENTO",""),IF($E182="In ciclo",IF(N($D182)&gt;=IMPOSTAZIONI!$C$5,"ULTIMA SEDUTA",IF(AND($I182&lt;&gt;"",TODAY()-$I182&gt;IMPOSTAZIONI!$C$7),"FUORI FINESTRA","PRENDI APPUNTAMENTO")),IF($E182="Da contattare","PRENDI APPUNTAMENTO","")))))))))))</f>
        <v/>
      </c>
      <c r="T182" s="17">
        <f>IF($S182="","",IFERROR(MATCH($S182,IMPOSTAZIONI!$F$5:$F$12,0),9)*100000000+(9999-MIN(9999,ROUND(N($O182)/100,0)))*10000+ROW())</f>
        <v/>
      </c>
    </row>
    <row r="183">
      <c r="A183" s="11" t="n"/>
      <c r="B183" s="12">
        <f>IF($S183="","",IFERROR(MATCH($S183,IMPOSTAZIONI!$F$5:$F$12,0),9)&amp;" · "&amp;$S183)</f>
        <v/>
      </c>
      <c r="C183" s="13" t="n"/>
      <c r="D183" s="14" t="n"/>
      <c r="E183" s="11" t="n"/>
      <c r="F183" s="15">
        <f>IF($A183="","",IF(LEN(IF(AND($C183&lt;&gt;"",$C183=TODAY())," · oggi in centro","")&amp;IF(AND($C183&lt;&gt;"",$C183&gt;=TODAY(),N($D183)+1&gt;=IMPOSTAZIONI!$C$5)," · ultima del ciclo, proponi il mantenimento","")&amp;IF(AND($C183&lt;&gt;"",$C183&gt;=TODAY(),$I183&lt;&gt;"",$C183-$I183&lt;IMPOSTAZIONI!$C$6)," · rientro anticipato, meno di "&amp;IMPOSTAZIONI!$C$6&amp;" giorni","")&amp;IF(AND($C183&lt;&gt;"",$C183&gt;=TODAY(),$I183&lt;&gt;"",$C183-$I183&gt;IMPOSTAZIONI!$C$7)," · rientro oltre "&amp;IMPOSTAZIONI!$C$7&amp;" giorni",""))=0,"",MID(IF(AND($C183&lt;&gt;"",$C183=TODAY())," · oggi in centro","")&amp;IF(AND($C183&lt;&gt;"",$C183&gt;=TODAY(),N($D183)+1&gt;=IMPOSTAZIONI!$C$5)," · ultima del ciclo, proponi il mantenimento","")&amp;IF(AND($C183&lt;&gt;"",$C183&gt;=TODAY(),$I183&lt;&gt;"",$C183-$I183&lt;IMPOSTAZIONI!$C$6)," · rientro anticipato, meno di "&amp;IMPOSTAZIONI!$C$6&amp;" giorni","")&amp;IF(AND($C183&lt;&gt;"",$C183&gt;=TODAY(),$I183&lt;&gt;"",$C183-$I183&gt;IMPOSTAZIONI!$C$7)," · rientro oltre "&amp;IMPOSTAZIONI!$C$7&amp;" giorni",""),4,300)))</f>
        <v/>
      </c>
      <c r="G183" s="16" t="n"/>
      <c r="H183" s="11" t="n"/>
      <c r="I183" s="13" t="n"/>
      <c r="J183" s="17">
        <f>IF($I183="","",TODAY()-$I183)</f>
        <v/>
      </c>
      <c r="K183" s="17">
        <f>IF($C183="","",$C183-TODAY())</f>
        <v/>
      </c>
      <c r="L183" s="15">
        <f>IF($A183="","",N($D183)&amp;"/"&amp;IMPOSTAZIONI!$C$5)</f>
        <v/>
      </c>
      <c r="M183" s="15">
        <f>IF($S183="","",IF($S183="RECUPERA CON INCENTIVO",INCENTIVI!$C$7,IF($S183="RICHIAMO MANTENIMENTO",INCENTIVI!$C$6,IF(OR($S183="FUORI FINESTRA",$S183="ULTIMA SEDUTA"),INCENTIVI!$C$5,""))))</f>
        <v/>
      </c>
      <c r="N183" s="18" t="n"/>
      <c r="O183" s="19">
        <f>IF($A183="","",N($D183)*N($N183))</f>
        <v/>
      </c>
      <c r="P183" s="19">
        <f>IF($A183="","",MAX(0,(IMPOSTAZIONI!$C$5-N($D183))*N($N183)))</f>
        <v/>
      </c>
      <c r="Q183" s="13" t="n"/>
      <c r="R183" s="11" t="n"/>
      <c r="S183" s="15">
        <f>IF($A183="","",IF(AND($C183&lt;&gt;"",$C183&lt;TODAY(),OR($I183="",$I183&lt;$C183)),"APPUNTAMENTO SALTATO",IF(AND($C183&lt;&gt;"",$C183-TODAY()=1),"CONFERMA DOMANI",IF(AND($C183&lt;&gt;"",$C183-TODAY()=IMPOSTAZIONI!$C$8),"CHIAMA PER CONFERMA",IF(AND($C183&lt;&gt;"",$C183&gt;=TODAY()),"",IF($E183="Sospesa","",IF($E183="Persa","RECUPERA CON INCENTIVO",IF(AND($I183&lt;&gt;"",TODAY()&gt;=EDATE($I183,IMPOSTAZIONI!$C$10)),"RECUPERA CON INCENTIVO",IF($E183="Mantenimento",IF(AND($I183&lt;&gt;"",TODAY()-$I183&gt;=IMPOSTAZIONI!$C$9),"RICHIAMO MANTENIMENTO",""),IF($E183="In ciclo",IF(N($D183)&gt;=IMPOSTAZIONI!$C$5,"ULTIMA SEDUTA",IF(AND($I183&lt;&gt;"",TODAY()-$I183&gt;IMPOSTAZIONI!$C$7),"FUORI FINESTRA","PRENDI APPUNTAMENTO")),IF($E183="Da contattare","PRENDI APPUNTAMENTO","")))))))))))</f>
        <v/>
      </c>
      <c r="T183" s="17">
        <f>IF($S183="","",IFERROR(MATCH($S183,IMPOSTAZIONI!$F$5:$F$12,0),9)*100000000+(9999-MIN(9999,ROUND(N($O183)/100,0)))*10000+ROW())</f>
        <v/>
      </c>
    </row>
    <row r="184">
      <c r="A184" s="11" t="n"/>
      <c r="B184" s="12">
        <f>IF($S184="","",IFERROR(MATCH($S184,IMPOSTAZIONI!$F$5:$F$12,0),9)&amp;" · "&amp;$S184)</f>
        <v/>
      </c>
      <c r="C184" s="13" t="n"/>
      <c r="D184" s="14" t="n"/>
      <c r="E184" s="11" t="n"/>
      <c r="F184" s="15">
        <f>IF($A184="","",IF(LEN(IF(AND($C184&lt;&gt;"",$C184=TODAY())," · oggi in centro","")&amp;IF(AND($C184&lt;&gt;"",$C184&gt;=TODAY(),N($D184)+1&gt;=IMPOSTAZIONI!$C$5)," · ultima del ciclo, proponi il mantenimento","")&amp;IF(AND($C184&lt;&gt;"",$C184&gt;=TODAY(),$I184&lt;&gt;"",$C184-$I184&lt;IMPOSTAZIONI!$C$6)," · rientro anticipato, meno di "&amp;IMPOSTAZIONI!$C$6&amp;" giorni","")&amp;IF(AND($C184&lt;&gt;"",$C184&gt;=TODAY(),$I184&lt;&gt;"",$C184-$I184&gt;IMPOSTAZIONI!$C$7)," · rientro oltre "&amp;IMPOSTAZIONI!$C$7&amp;" giorni",""))=0,"",MID(IF(AND($C184&lt;&gt;"",$C184=TODAY())," · oggi in centro","")&amp;IF(AND($C184&lt;&gt;"",$C184&gt;=TODAY(),N($D184)+1&gt;=IMPOSTAZIONI!$C$5)," · ultima del ciclo, proponi il mantenimento","")&amp;IF(AND($C184&lt;&gt;"",$C184&gt;=TODAY(),$I184&lt;&gt;"",$C184-$I184&lt;IMPOSTAZIONI!$C$6)," · rientro anticipato, meno di "&amp;IMPOSTAZIONI!$C$6&amp;" giorni","")&amp;IF(AND($C184&lt;&gt;"",$C184&gt;=TODAY(),$I184&lt;&gt;"",$C184-$I184&gt;IMPOSTAZIONI!$C$7)," · rientro oltre "&amp;IMPOSTAZIONI!$C$7&amp;" giorni",""),4,300)))</f>
        <v/>
      </c>
      <c r="G184" s="16" t="n"/>
      <c r="H184" s="11" t="n"/>
      <c r="I184" s="13" t="n"/>
      <c r="J184" s="17">
        <f>IF($I184="","",TODAY()-$I184)</f>
        <v/>
      </c>
      <c r="K184" s="17">
        <f>IF($C184="","",$C184-TODAY())</f>
        <v/>
      </c>
      <c r="L184" s="15">
        <f>IF($A184="","",N($D184)&amp;"/"&amp;IMPOSTAZIONI!$C$5)</f>
        <v/>
      </c>
      <c r="M184" s="15">
        <f>IF($S184="","",IF($S184="RECUPERA CON INCENTIVO",INCENTIVI!$C$7,IF($S184="RICHIAMO MANTENIMENTO",INCENTIVI!$C$6,IF(OR($S184="FUORI FINESTRA",$S184="ULTIMA SEDUTA"),INCENTIVI!$C$5,""))))</f>
        <v/>
      </c>
      <c r="N184" s="18" t="n"/>
      <c r="O184" s="19">
        <f>IF($A184="","",N($D184)*N($N184))</f>
        <v/>
      </c>
      <c r="P184" s="19">
        <f>IF($A184="","",MAX(0,(IMPOSTAZIONI!$C$5-N($D184))*N($N184)))</f>
        <v/>
      </c>
      <c r="Q184" s="13" t="n"/>
      <c r="R184" s="11" t="n"/>
      <c r="S184" s="15">
        <f>IF($A184="","",IF(AND($C184&lt;&gt;"",$C184&lt;TODAY(),OR($I184="",$I184&lt;$C184)),"APPUNTAMENTO SALTATO",IF(AND($C184&lt;&gt;"",$C184-TODAY()=1),"CONFERMA DOMANI",IF(AND($C184&lt;&gt;"",$C184-TODAY()=IMPOSTAZIONI!$C$8),"CHIAMA PER CONFERMA",IF(AND($C184&lt;&gt;"",$C184&gt;=TODAY()),"",IF($E184="Sospesa","",IF($E184="Persa","RECUPERA CON INCENTIVO",IF(AND($I184&lt;&gt;"",TODAY()&gt;=EDATE($I184,IMPOSTAZIONI!$C$10)),"RECUPERA CON INCENTIVO",IF($E184="Mantenimento",IF(AND($I184&lt;&gt;"",TODAY()-$I184&gt;=IMPOSTAZIONI!$C$9),"RICHIAMO MANTENIMENTO",""),IF($E184="In ciclo",IF(N($D184)&gt;=IMPOSTAZIONI!$C$5,"ULTIMA SEDUTA",IF(AND($I184&lt;&gt;"",TODAY()-$I184&gt;IMPOSTAZIONI!$C$7),"FUORI FINESTRA","PRENDI APPUNTAMENTO")),IF($E184="Da contattare","PRENDI APPUNTAMENTO","")))))))))))</f>
        <v/>
      </c>
      <c r="T184" s="17">
        <f>IF($S184="","",IFERROR(MATCH($S184,IMPOSTAZIONI!$F$5:$F$12,0),9)*100000000+(9999-MIN(9999,ROUND(N($O184)/100,0)))*10000+ROW())</f>
        <v/>
      </c>
    </row>
    <row r="185">
      <c r="A185" s="11" t="n"/>
      <c r="B185" s="12">
        <f>IF($S185="","",IFERROR(MATCH($S185,IMPOSTAZIONI!$F$5:$F$12,0),9)&amp;" · "&amp;$S185)</f>
        <v/>
      </c>
      <c r="C185" s="13" t="n"/>
      <c r="D185" s="14" t="n"/>
      <c r="E185" s="11" t="n"/>
      <c r="F185" s="15">
        <f>IF($A185="","",IF(LEN(IF(AND($C185&lt;&gt;"",$C185=TODAY())," · oggi in centro","")&amp;IF(AND($C185&lt;&gt;"",$C185&gt;=TODAY(),N($D185)+1&gt;=IMPOSTAZIONI!$C$5)," · ultima del ciclo, proponi il mantenimento","")&amp;IF(AND($C185&lt;&gt;"",$C185&gt;=TODAY(),$I185&lt;&gt;"",$C185-$I185&lt;IMPOSTAZIONI!$C$6)," · rientro anticipato, meno di "&amp;IMPOSTAZIONI!$C$6&amp;" giorni","")&amp;IF(AND($C185&lt;&gt;"",$C185&gt;=TODAY(),$I185&lt;&gt;"",$C185-$I185&gt;IMPOSTAZIONI!$C$7)," · rientro oltre "&amp;IMPOSTAZIONI!$C$7&amp;" giorni",""))=0,"",MID(IF(AND($C185&lt;&gt;"",$C185=TODAY())," · oggi in centro","")&amp;IF(AND($C185&lt;&gt;"",$C185&gt;=TODAY(),N($D185)+1&gt;=IMPOSTAZIONI!$C$5)," · ultima del ciclo, proponi il mantenimento","")&amp;IF(AND($C185&lt;&gt;"",$C185&gt;=TODAY(),$I185&lt;&gt;"",$C185-$I185&lt;IMPOSTAZIONI!$C$6)," · rientro anticipato, meno di "&amp;IMPOSTAZIONI!$C$6&amp;" giorni","")&amp;IF(AND($C185&lt;&gt;"",$C185&gt;=TODAY(),$I185&lt;&gt;"",$C185-$I185&gt;IMPOSTAZIONI!$C$7)," · rientro oltre "&amp;IMPOSTAZIONI!$C$7&amp;" giorni",""),4,300)))</f>
        <v/>
      </c>
      <c r="G185" s="16" t="n"/>
      <c r="H185" s="11" t="n"/>
      <c r="I185" s="13" t="n"/>
      <c r="J185" s="17">
        <f>IF($I185="","",TODAY()-$I185)</f>
        <v/>
      </c>
      <c r="K185" s="17">
        <f>IF($C185="","",$C185-TODAY())</f>
        <v/>
      </c>
      <c r="L185" s="15">
        <f>IF($A185="","",N($D185)&amp;"/"&amp;IMPOSTAZIONI!$C$5)</f>
        <v/>
      </c>
      <c r="M185" s="15">
        <f>IF($S185="","",IF($S185="RECUPERA CON INCENTIVO",INCENTIVI!$C$7,IF($S185="RICHIAMO MANTENIMENTO",INCENTIVI!$C$6,IF(OR($S185="FUORI FINESTRA",$S185="ULTIMA SEDUTA"),INCENTIVI!$C$5,""))))</f>
        <v/>
      </c>
      <c r="N185" s="18" t="n"/>
      <c r="O185" s="19">
        <f>IF($A185="","",N($D185)*N($N185))</f>
        <v/>
      </c>
      <c r="P185" s="19">
        <f>IF($A185="","",MAX(0,(IMPOSTAZIONI!$C$5-N($D185))*N($N185)))</f>
        <v/>
      </c>
      <c r="Q185" s="13" t="n"/>
      <c r="R185" s="11" t="n"/>
      <c r="S185" s="15">
        <f>IF($A185="","",IF(AND($C185&lt;&gt;"",$C185&lt;TODAY(),OR($I185="",$I185&lt;$C185)),"APPUNTAMENTO SALTATO",IF(AND($C185&lt;&gt;"",$C185-TODAY()=1),"CONFERMA DOMANI",IF(AND($C185&lt;&gt;"",$C185-TODAY()=IMPOSTAZIONI!$C$8),"CHIAMA PER CONFERMA",IF(AND($C185&lt;&gt;"",$C185&gt;=TODAY()),"",IF($E185="Sospesa","",IF($E185="Persa","RECUPERA CON INCENTIVO",IF(AND($I185&lt;&gt;"",TODAY()&gt;=EDATE($I185,IMPOSTAZIONI!$C$10)),"RECUPERA CON INCENTIVO",IF($E185="Mantenimento",IF(AND($I185&lt;&gt;"",TODAY()-$I185&gt;=IMPOSTAZIONI!$C$9),"RICHIAMO MANTENIMENTO",""),IF($E185="In ciclo",IF(N($D185)&gt;=IMPOSTAZIONI!$C$5,"ULTIMA SEDUTA",IF(AND($I185&lt;&gt;"",TODAY()-$I185&gt;IMPOSTAZIONI!$C$7),"FUORI FINESTRA","PRENDI APPUNTAMENTO")),IF($E185="Da contattare","PRENDI APPUNTAMENTO","")))))))))))</f>
        <v/>
      </c>
      <c r="T185" s="17">
        <f>IF($S185="","",IFERROR(MATCH($S185,IMPOSTAZIONI!$F$5:$F$12,0),9)*100000000+(9999-MIN(9999,ROUND(N($O185)/100,0)))*10000+ROW())</f>
        <v/>
      </c>
    </row>
    <row r="186">
      <c r="A186" s="11" t="n"/>
      <c r="B186" s="12">
        <f>IF($S186="","",IFERROR(MATCH($S186,IMPOSTAZIONI!$F$5:$F$12,0),9)&amp;" · "&amp;$S186)</f>
        <v/>
      </c>
      <c r="C186" s="13" t="n"/>
      <c r="D186" s="14" t="n"/>
      <c r="E186" s="11" t="n"/>
      <c r="F186" s="15">
        <f>IF($A186="","",IF(LEN(IF(AND($C186&lt;&gt;"",$C186=TODAY())," · oggi in centro","")&amp;IF(AND($C186&lt;&gt;"",$C186&gt;=TODAY(),N($D186)+1&gt;=IMPOSTAZIONI!$C$5)," · ultima del ciclo, proponi il mantenimento","")&amp;IF(AND($C186&lt;&gt;"",$C186&gt;=TODAY(),$I186&lt;&gt;"",$C186-$I186&lt;IMPOSTAZIONI!$C$6)," · rientro anticipato, meno di "&amp;IMPOSTAZIONI!$C$6&amp;" giorni","")&amp;IF(AND($C186&lt;&gt;"",$C186&gt;=TODAY(),$I186&lt;&gt;"",$C186-$I186&gt;IMPOSTAZIONI!$C$7)," · rientro oltre "&amp;IMPOSTAZIONI!$C$7&amp;" giorni",""))=0,"",MID(IF(AND($C186&lt;&gt;"",$C186=TODAY())," · oggi in centro","")&amp;IF(AND($C186&lt;&gt;"",$C186&gt;=TODAY(),N($D186)+1&gt;=IMPOSTAZIONI!$C$5)," · ultima del ciclo, proponi il mantenimento","")&amp;IF(AND($C186&lt;&gt;"",$C186&gt;=TODAY(),$I186&lt;&gt;"",$C186-$I186&lt;IMPOSTAZIONI!$C$6)," · rientro anticipato, meno di "&amp;IMPOSTAZIONI!$C$6&amp;" giorni","")&amp;IF(AND($C186&lt;&gt;"",$C186&gt;=TODAY(),$I186&lt;&gt;"",$C186-$I186&gt;IMPOSTAZIONI!$C$7)," · rientro oltre "&amp;IMPOSTAZIONI!$C$7&amp;" giorni",""),4,300)))</f>
        <v/>
      </c>
      <c r="G186" s="16" t="n"/>
      <c r="H186" s="11" t="n"/>
      <c r="I186" s="13" t="n"/>
      <c r="J186" s="17">
        <f>IF($I186="","",TODAY()-$I186)</f>
        <v/>
      </c>
      <c r="K186" s="17">
        <f>IF($C186="","",$C186-TODAY())</f>
        <v/>
      </c>
      <c r="L186" s="15">
        <f>IF($A186="","",N($D186)&amp;"/"&amp;IMPOSTAZIONI!$C$5)</f>
        <v/>
      </c>
      <c r="M186" s="15">
        <f>IF($S186="","",IF($S186="RECUPERA CON INCENTIVO",INCENTIVI!$C$7,IF($S186="RICHIAMO MANTENIMENTO",INCENTIVI!$C$6,IF(OR($S186="FUORI FINESTRA",$S186="ULTIMA SEDUTA"),INCENTIVI!$C$5,""))))</f>
        <v/>
      </c>
      <c r="N186" s="18" t="n"/>
      <c r="O186" s="19">
        <f>IF($A186="","",N($D186)*N($N186))</f>
        <v/>
      </c>
      <c r="P186" s="19">
        <f>IF($A186="","",MAX(0,(IMPOSTAZIONI!$C$5-N($D186))*N($N186)))</f>
        <v/>
      </c>
      <c r="Q186" s="13" t="n"/>
      <c r="R186" s="11" t="n"/>
      <c r="S186" s="15">
        <f>IF($A186="","",IF(AND($C186&lt;&gt;"",$C186&lt;TODAY(),OR($I186="",$I186&lt;$C186)),"APPUNTAMENTO SALTATO",IF(AND($C186&lt;&gt;"",$C186-TODAY()=1),"CONFERMA DOMANI",IF(AND($C186&lt;&gt;"",$C186-TODAY()=IMPOSTAZIONI!$C$8),"CHIAMA PER CONFERMA",IF(AND($C186&lt;&gt;"",$C186&gt;=TODAY()),"",IF($E186="Sospesa","",IF($E186="Persa","RECUPERA CON INCENTIVO",IF(AND($I186&lt;&gt;"",TODAY()&gt;=EDATE($I186,IMPOSTAZIONI!$C$10)),"RECUPERA CON INCENTIVO",IF($E186="Mantenimento",IF(AND($I186&lt;&gt;"",TODAY()-$I186&gt;=IMPOSTAZIONI!$C$9),"RICHIAMO MANTENIMENTO",""),IF($E186="In ciclo",IF(N($D186)&gt;=IMPOSTAZIONI!$C$5,"ULTIMA SEDUTA",IF(AND($I186&lt;&gt;"",TODAY()-$I186&gt;IMPOSTAZIONI!$C$7),"FUORI FINESTRA","PRENDI APPUNTAMENTO")),IF($E186="Da contattare","PRENDI APPUNTAMENTO","")))))))))))</f>
        <v/>
      </c>
      <c r="T186" s="17">
        <f>IF($S186="","",IFERROR(MATCH($S186,IMPOSTAZIONI!$F$5:$F$12,0),9)*100000000+(9999-MIN(9999,ROUND(N($O186)/100,0)))*10000+ROW())</f>
        <v/>
      </c>
    </row>
    <row r="187">
      <c r="A187" s="11" t="n"/>
      <c r="B187" s="12">
        <f>IF($S187="","",IFERROR(MATCH($S187,IMPOSTAZIONI!$F$5:$F$12,0),9)&amp;" · "&amp;$S187)</f>
        <v/>
      </c>
      <c r="C187" s="13" t="n"/>
      <c r="D187" s="14" t="n"/>
      <c r="E187" s="11" t="n"/>
      <c r="F187" s="15">
        <f>IF($A187="","",IF(LEN(IF(AND($C187&lt;&gt;"",$C187=TODAY())," · oggi in centro","")&amp;IF(AND($C187&lt;&gt;"",$C187&gt;=TODAY(),N($D187)+1&gt;=IMPOSTAZIONI!$C$5)," · ultima del ciclo, proponi il mantenimento","")&amp;IF(AND($C187&lt;&gt;"",$C187&gt;=TODAY(),$I187&lt;&gt;"",$C187-$I187&lt;IMPOSTAZIONI!$C$6)," · rientro anticipato, meno di "&amp;IMPOSTAZIONI!$C$6&amp;" giorni","")&amp;IF(AND($C187&lt;&gt;"",$C187&gt;=TODAY(),$I187&lt;&gt;"",$C187-$I187&gt;IMPOSTAZIONI!$C$7)," · rientro oltre "&amp;IMPOSTAZIONI!$C$7&amp;" giorni",""))=0,"",MID(IF(AND($C187&lt;&gt;"",$C187=TODAY())," · oggi in centro","")&amp;IF(AND($C187&lt;&gt;"",$C187&gt;=TODAY(),N($D187)+1&gt;=IMPOSTAZIONI!$C$5)," · ultima del ciclo, proponi il mantenimento","")&amp;IF(AND($C187&lt;&gt;"",$C187&gt;=TODAY(),$I187&lt;&gt;"",$C187-$I187&lt;IMPOSTAZIONI!$C$6)," · rientro anticipato, meno di "&amp;IMPOSTAZIONI!$C$6&amp;" giorni","")&amp;IF(AND($C187&lt;&gt;"",$C187&gt;=TODAY(),$I187&lt;&gt;"",$C187-$I187&gt;IMPOSTAZIONI!$C$7)," · rientro oltre "&amp;IMPOSTAZIONI!$C$7&amp;" giorni",""),4,300)))</f>
        <v/>
      </c>
      <c r="G187" s="16" t="n"/>
      <c r="H187" s="11" t="n"/>
      <c r="I187" s="13" t="n"/>
      <c r="J187" s="17">
        <f>IF($I187="","",TODAY()-$I187)</f>
        <v/>
      </c>
      <c r="K187" s="17">
        <f>IF($C187="","",$C187-TODAY())</f>
        <v/>
      </c>
      <c r="L187" s="15">
        <f>IF($A187="","",N($D187)&amp;"/"&amp;IMPOSTAZIONI!$C$5)</f>
        <v/>
      </c>
      <c r="M187" s="15">
        <f>IF($S187="","",IF($S187="RECUPERA CON INCENTIVO",INCENTIVI!$C$7,IF($S187="RICHIAMO MANTENIMENTO",INCENTIVI!$C$6,IF(OR($S187="FUORI FINESTRA",$S187="ULTIMA SEDUTA"),INCENTIVI!$C$5,""))))</f>
        <v/>
      </c>
      <c r="N187" s="18" t="n"/>
      <c r="O187" s="19">
        <f>IF($A187="","",N($D187)*N($N187))</f>
        <v/>
      </c>
      <c r="P187" s="19">
        <f>IF($A187="","",MAX(0,(IMPOSTAZIONI!$C$5-N($D187))*N($N187)))</f>
        <v/>
      </c>
      <c r="Q187" s="13" t="n"/>
      <c r="R187" s="11" t="n"/>
      <c r="S187" s="15">
        <f>IF($A187="","",IF(AND($C187&lt;&gt;"",$C187&lt;TODAY(),OR($I187="",$I187&lt;$C187)),"APPUNTAMENTO SALTATO",IF(AND($C187&lt;&gt;"",$C187-TODAY()=1),"CONFERMA DOMANI",IF(AND($C187&lt;&gt;"",$C187-TODAY()=IMPOSTAZIONI!$C$8),"CHIAMA PER CONFERMA",IF(AND($C187&lt;&gt;"",$C187&gt;=TODAY()),"",IF($E187="Sospesa","",IF($E187="Persa","RECUPERA CON INCENTIVO",IF(AND($I187&lt;&gt;"",TODAY()&gt;=EDATE($I187,IMPOSTAZIONI!$C$10)),"RECUPERA CON INCENTIVO",IF($E187="Mantenimento",IF(AND($I187&lt;&gt;"",TODAY()-$I187&gt;=IMPOSTAZIONI!$C$9),"RICHIAMO MANTENIMENTO",""),IF($E187="In ciclo",IF(N($D187)&gt;=IMPOSTAZIONI!$C$5,"ULTIMA SEDUTA",IF(AND($I187&lt;&gt;"",TODAY()-$I187&gt;IMPOSTAZIONI!$C$7),"FUORI FINESTRA","PRENDI APPUNTAMENTO")),IF($E187="Da contattare","PRENDI APPUNTAMENTO","")))))))))))</f>
        <v/>
      </c>
      <c r="T187" s="17">
        <f>IF($S187="","",IFERROR(MATCH($S187,IMPOSTAZIONI!$F$5:$F$12,0),9)*100000000+(9999-MIN(9999,ROUND(N($O187)/100,0)))*10000+ROW())</f>
        <v/>
      </c>
    </row>
    <row r="188">
      <c r="A188" s="11" t="n"/>
      <c r="B188" s="12">
        <f>IF($S188="","",IFERROR(MATCH($S188,IMPOSTAZIONI!$F$5:$F$12,0),9)&amp;" · "&amp;$S188)</f>
        <v/>
      </c>
      <c r="C188" s="13" t="n"/>
      <c r="D188" s="14" t="n"/>
      <c r="E188" s="11" t="n"/>
      <c r="F188" s="15">
        <f>IF($A188="","",IF(LEN(IF(AND($C188&lt;&gt;"",$C188=TODAY())," · oggi in centro","")&amp;IF(AND($C188&lt;&gt;"",$C188&gt;=TODAY(),N($D188)+1&gt;=IMPOSTAZIONI!$C$5)," · ultima del ciclo, proponi il mantenimento","")&amp;IF(AND($C188&lt;&gt;"",$C188&gt;=TODAY(),$I188&lt;&gt;"",$C188-$I188&lt;IMPOSTAZIONI!$C$6)," · rientro anticipato, meno di "&amp;IMPOSTAZIONI!$C$6&amp;" giorni","")&amp;IF(AND($C188&lt;&gt;"",$C188&gt;=TODAY(),$I188&lt;&gt;"",$C188-$I188&gt;IMPOSTAZIONI!$C$7)," · rientro oltre "&amp;IMPOSTAZIONI!$C$7&amp;" giorni",""))=0,"",MID(IF(AND($C188&lt;&gt;"",$C188=TODAY())," · oggi in centro","")&amp;IF(AND($C188&lt;&gt;"",$C188&gt;=TODAY(),N($D188)+1&gt;=IMPOSTAZIONI!$C$5)," · ultima del ciclo, proponi il mantenimento","")&amp;IF(AND($C188&lt;&gt;"",$C188&gt;=TODAY(),$I188&lt;&gt;"",$C188-$I188&lt;IMPOSTAZIONI!$C$6)," · rientro anticipato, meno di "&amp;IMPOSTAZIONI!$C$6&amp;" giorni","")&amp;IF(AND($C188&lt;&gt;"",$C188&gt;=TODAY(),$I188&lt;&gt;"",$C188-$I188&gt;IMPOSTAZIONI!$C$7)," · rientro oltre "&amp;IMPOSTAZIONI!$C$7&amp;" giorni",""),4,300)))</f>
        <v/>
      </c>
      <c r="G188" s="16" t="n"/>
      <c r="H188" s="11" t="n"/>
      <c r="I188" s="13" t="n"/>
      <c r="J188" s="17">
        <f>IF($I188="","",TODAY()-$I188)</f>
        <v/>
      </c>
      <c r="K188" s="17">
        <f>IF($C188="","",$C188-TODAY())</f>
        <v/>
      </c>
      <c r="L188" s="15">
        <f>IF($A188="","",N($D188)&amp;"/"&amp;IMPOSTAZIONI!$C$5)</f>
        <v/>
      </c>
      <c r="M188" s="15">
        <f>IF($S188="","",IF($S188="RECUPERA CON INCENTIVO",INCENTIVI!$C$7,IF($S188="RICHIAMO MANTENIMENTO",INCENTIVI!$C$6,IF(OR($S188="FUORI FINESTRA",$S188="ULTIMA SEDUTA"),INCENTIVI!$C$5,""))))</f>
        <v/>
      </c>
      <c r="N188" s="18" t="n"/>
      <c r="O188" s="19">
        <f>IF($A188="","",N($D188)*N($N188))</f>
        <v/>
      </c>
      <c r="P188" s="19">
        <f>IF($A188="","",MAX(0,(IMPOSTAZIONI!$C$5-N($D188))*N($N188)))</f>
        <v/>
      </c>
      <c r="Q188" s="13" t="n"/>
      <c r="R188" s="11" t="n"/>
      <c r="S188" s="15">
        <f>IF($A188="","",IF(AND($C188&lt;&gt;"",$C188&lt;TODAY(),OR($I188="",$I188&lt;$C188)),"APPUNTAMENTO SALTATO",IF(AND($C188&lt;&gt;"",$C188-TODAY()=1),"CONFERMA DOMANI",IF(AND($C188&lt;&gt;"",$C188-TODAY()=IMPOSTAZIONI!$C$8),"CHIAMA PER CONFERMA",IF(AND($C188&lt;&gt;"",$C188&gt;=TODAY()),"",IF($E188="Sospesa","",IF($E188="Persa","RECUPERA CON INCENTIVO",IF(AND($I188&lt;&gt;"",TODAY()&gt;=EDATE($I188,IMPOSTAZIONI!$C$10)),"RECUPERA CON INCENTIVO",IF($E188="Mantenimento",IF(AND($I188&lt;&gt;"",TODAY()-$I188&gt;=IMPOSTAZIONI!$C$9),"RICHIAMO MANTENIMENTO",""),IF($E188="In ciclo",IF(N($D188)&gt;=IMPOSTAZIONI!$C$5,"ULTIMA SEDUTA",IF(AND($I188&lt;&gt;"",TODAY()-$I188&gt;IMPOSTAZIONI!$C$7),"FUORI FINESTRA","PRENDI APPUNTAMENTO")),IF($E188="Da contattare","PRENDI APPUNTAMENTO","")))))))))))</f>
        <v/>
      </c>
      <c r="T188" s="17">
        <f>IF($S188="","",IFERROR(MATCH($S188,IMPOSTAZIONI!$F$5:$F$12,0),9)*100000000+(9999-MIN(9999,ROUND(N($O188)/100,0)))*10000+ROW())</f>
        <v/>
      </c>
    </row>
    <row r="189">
      <c r="A189" s="11" t="n"/>
      <c r="B189" s="12">
        <f>IF($S189="","",IFERROR(MATCH($S189,IMPOSTAZIONI!$F$5:$F$12,0),9)&amp;" · "&amp;$S189)</f>
        <v/>
      </c>
      <c r="C189" s="13" t="n"/>
      <c r="D189" s="14" t="n"/>
      <c r="E189" s="11" t="n"/>
      <c r="F189" s="15">
        <f>IF($A189="","",IF(LEN(IF(AND($C189&lt;&gt;"",$C189=TODAY())," · oggi in centro","")&amp;IF(AND($C189&lt;&gt;"",$C189&gt;=TODAY(),N($D189)+1&gt;=IMPOSTAZIONI!$C$5)," · ultima del ciclo, proponi il mantenimento","")&amp;IF(AND($C189&lt;&gt;"",$C189&gt;=TODAY(),$I189&lt;&gt;"",$C189-$I189&lt;IMPOSTAZIONI!$C$6)," · rientro anticipato, meno di "&amp;IMPOSTAZIONI!$C$6&amp;" giorni","")&amp;IF(AND($C189&lt;&gt;"",$C189&gt;=TODAY(),$I189&lt;&gt;"",$C189-$I189&gt;IMPOSTAZIONI!$C$7)," · rientro oltre "&amp;IMPOSTAZIONI!$C$7&amp;" giorni",""))=0,"",MID(IF(AND($C189&lt;&gt;"",$C189=TODAY())," · oggi in centro","")&amp;IF(AND($C189&lt;&gt;"",$C189&gt;=TODAY(),N($D189)+1&gt;=IMPOSTAZIONI!$C$5)," · ultima del ciclo, proponi il mantenimento","")&amp;IF(AND($C189&lt;&gt;"",$C189&gt;=TODAY(),$I189&lt;&gt;"",$C189-$I189&lt;IMPOSTAZIONI!$C$6)," · rientro anticipato, meno di "&amp;IMPOSTAZIONI!$C$6&amp;" giorni","")&amp;IF(AND($C189&lt;&gt;"",$C189&gt;=TODAY(),$I189&lt;&gt;"",$C189-$I189&gt;IMPOSTAZIONI!$C$7)," · rientro oltre "&amp;IMPOSTAZIONI!$C$7&amp;" giorni",""),4,300)))</f>
        <v/>
      </c>
      <c r="G189" s="16" t="n"/>
      <c r="H189" s="11" t="n"/>
      <c r="I189" s="13" t="n"/>
      <c r="J189" s="17">
        <f>IF($I189="","",TODAY()-$I189)</f>
        <v/>
      </c>
      <c r="K189" s="17">
        <f>IF($C189="","",$C189-TODAY())</f>
        <v/>
      </c>
      <c r="L189" s="15">
        <f>IF($A189="","",N($D189)&amp;"/"&amp;IMPOSTAZIONI!$C$5)</f>
        <v/>
      </c>
      <c r="M189" s="15">
        <f>IF($S189="","",IF($S189="RECUPERA CON INCENTIVO",INCENTIVI!$C$7,IF($S189="RICHIAMO MANTENIMENTO",INCENTIVI!$C$6,IF(OR($S189="FUORI FINESTRA",$S189="ULTIMA SEDUTA"),INCENTIVI!$C$5,""))))</f>
        <v/>
      </c>
      <c r="N189" s="18" t="n"/>
      <c r="O189" s="19">
        <f>IF($A189="","",N($D189)*N($N189))</f>
        <v/>
      </c>
      <c r="P189" s="19">
        <f>IF($A189="","",MAX(0,(IMPOSTAZIONI!$C$5-N($D189))*N($N189)))</f>
        <v/>
      </c>
      <c r="Q189" s="13" t="n"/>
      <c r="R189" s="11" t="n"/>
      <c r="S189" s="15">
        <f>IF($A189="","",IF(AND($C189&lt;&gt;"",$C189&lt;TODAY(),OR($I189="",$I189&lt;$C189)),"APPUNTAMENTO SALTATO",IF(AND($C189&lt;&gt;"",$C189-TODAY()=1),"CONFERMA DOMANI",IF(AND($C189&lt;&gt;"",$C189-TODAY()=IMPOSTAZIONI!$C$8),"CHIAMA PER CONFERMA",IF(AND($C189&lt;&gt;"",$C189&gt;=TODAY()),"",IF($E189="Sospesa","",IF($E189="Persa","RECUPERA CON INCENTIVO",IF(AND($I189&lt;&gt;"",TODAY()&gt;=EDATE($I189,IMPOSTAZIONI!$C$10)),"RECUPERA CON INCENTIVO",IF($E189="Mantenimento",IF(AND($I189&lt;&gt;"",TODAY()-$I189&gt;=IMPOSTAZIONI!$C$9),"RICHIAMO MANTENIMENTO",""),IF($E189="In ciclo",IF(N($D189)&gt;=IMPOSTAZIONI!$C$5,"ULTIMA SEDUTA",IF(AND($I189&lt;&gt;"",TODAY()-$I189&gt;IMPOSTAZIONI!$C$7),"FUORI FINESTRA","PRENDI APPUNTAMENTO")),IF($E189="Da contattare","PRENDI APPUNTAMENTO","")))))))))))</f>
        <v/>
      </c>
      <c r="T189" s="17">
        <f>IF($S189="","",IFERROR(MATCH($S189,IMPOSTAZIONI!$F$5:$F$12,0),9)*100000000+(9999-MIN(9999,ROUND(N($O189)/100,0)))*10000+ROW())</f>
        <v/>
      </c>
    </row>
    <row r="190">
      <c r="A190" s="11" t="n"/>
      <c r="B190" s="12">
        <f>IF($S190="","",IFERROR(MATCH($S190,IMPOSTAZIONI!$F$5:$F$12,0),9)&amp;" · "&amp;$S190)</f>
        <v/>
      </c>
      <c r="C190" s="13" t="n"/>
      <c r="D190" s="14" t="n"/>
      <c r="E190" s="11" t="n"/>
      <c r="F190" s="15">
        <f>IF($A190="","",IF(LEN(IF(AND($C190&lt;&gt;"",$C190=TODAY())," · oggi in centro","")&amp;IF(AND($C190&lt;&gt;"",$C190&gt;=TODAY(),N($D190)+1&gt;=IMPOSTAZIONI!$C$5)," · ultima del ciclo, proponi il mantenimento","")&amp;IF(AND($C190&lt;&gt;"",$C190&gt;=TODAY(),$I190&lt;&gt;"",$C190-$I190&lt;IMPOSTAZIONI!$C$6)," · rientro anticipato, meno di "&amp;IMPOSTAZIONI!$C$6&amp;" giorni","")&amp;IF(AND($C190&lt;&gt;"",$C190&gt;=TODAY(),$I190&lt;&gt;"",$C190-$I190&gt;IMPOSTAZIONI!$C$7)," · rientro oltre "&amp;IMPOSTAZIONI!$C$7&amp;" giorni",""))=0,"",MID(IF(AND($C190&lt;&gt;"",$C190=TODAY())," · oggi in centro","")&amp;IF(AND($C190&lt;&gt;"",$C190&gt;=TODAY(),N($D190)+1&gt;=IMPOSTAZIONI!$C$5)," · ultima del ciclo, proponi il mantenimento","")&amp;IF(AND($C190&lt;&gt;"",$C190&gt;=TODAY(),$I190&lt;&gt;"",$C190-$I190&lt;IMPOSTAZIONI!$C$6)," · rientro anticipato, meno di "&amp;IMPOSTAZIONI!$C$6&amp;" giorni","")&amp;IF(AND($C190&lt;&gt;"",$C190&gt;=TODAY(),$I190&lt;&gt;"",$C190-$I190&gt;IMPOSTAZIONI!$C$7)," · rientro oltre "&amp;IMPOSTAZIONI!$C$7&amp;" giorni",""),4,300)))</f>
        <v/>
      </c>
      <c r="G190" s="16" t="n"/>
      <c r="H190" s="11" t="n"/>
      <c r="I190" s="13" t="n"/>
      <c r="J190" s="17">
        <f>IF($I190="","",TODAY()-$I190)</f>
        <v/>
      </c>
      <c r="K190" s="17">
        <f>IF($C190="","",$C190-TODAY())</f>
        <v/>
      </c>
      <c r="L190" s="15">
        <f>IF($A190="","",N($D190)&amp;"/"&amp;IMPOSTAZIONI!$C$5)</f>
        <v/>
      </c>
      <c r="M190" s="15">
        <f>IF($S190="","",IF($S190="RECUPERA CON INCENTIVO",INCENTIVI!$C$7,IF($S190="RICHIAMO MANTENIMENTO",INCENTIVI!$C$6,IF(OR($S190="FUORI FINESTRA",$S190="ULTIMA SEDUTA"),INCENTIVI!$C$5,""))))</f>
        <v/>
      </c>
      <c r="N190" s="18" t="n"/>
      <c r="O190" s="19">
        <f>IF($A190="","",N($D190)*N($N190))</f>
        <v/>
      </c>
      <c r="P190" s="19">
        <f>IF($A190="","",MAX(0,(IMPOSTAZIONI!$C$5-N($D190))*N($N190)))</f>
        <v/>
      </c>
      <c r="Q190" s="13" t="n"/>
      <c r="R190" s="11" t="n"/>
      <c r="S190" s="15">
        <f>IF($A190="","",IF(AND($C190&lt;&gt;"",$C190&lt;TODAY(),OR($I190="",$I190&lt;$C190)),"APPUNTAMENTO SALTATO",IF(AND($C190&lt;&gt;"",$C190-TODAY()=1),"CONFERMA DOMANI",IF(AND($C190&lt;&gt;"",$C190-TODAY()=IMPOSTAZIONI!$C$8),"CHIAMA PER CONFERMA",IF(AND($C190&lt;&gt;"",$C190&gt;=TODAY()),"",IF($E190="Sospesa","",IF($E190="Persa","RECUPERA CON INCENTIVO",IF(AND($I190&lt;&gt;"",TODAY()&gt;=EDATE($I190,IMPOSTAZIONI!$C$10)),"RECUPERA CON INCENTIVO",IF($E190="Mantenimento",IF(AND($I190&lt;&gt;"",TODAY()-$I190&gt;=IMPOSTAZIONI!$C$9),"RICHIAMO MANTENIMENTO",""),IF($E190="In ciclo",IF(N($D190)&gt;=IMPOSTAZIONI!$C$5,"ULTIMA SEDUTA",IF(AND($I190&lt;&gt;"",TODAY()-$I190&gt;IMPOSTAZIONI!$C$7),"FUORI FINESTRA","PRENDI APPUNTAMENTO")),IF($E190="Da contattare","PRENDI APPUNTAMENTO","")))))))))))</f>
        <v/>
      </c>
      <c r="T190" s="17">
        <f>IF($S190="","",IFERROR(MATCH($S190,IMPOSTAZIONI!$F$5:$F$12,0),9)*100000000+(9999-MIN(9999,ROUND(N($O190)/100,0)))*10000+ROW())</f>
        <v/>
      </c>
    </row>
    <row r="191">
      <c r="A191" s="11" t="n"/>
      <c r="B191" s="12">
        <f>IF($S191="","",IFERROR(MATCH($S191,IMPOSTAZIONI!$F$5:$F$12,0),9)&amp;" · "&amp;$S191)</f>
        <v/>
      </c>
      <c r="C191" s="13" t="n"/>
      <c r="D191" s="14" t="n"/>
      <c r="E191" s="11" t="n"/>
      <c r="F191" s="15">
        <f>IF($A191="","",IF(LEN(IF(AND($C191&lt;&gt;"",$C191=TODAY())," · oggi in centro","")&amp;IF(AND($C191&lt;&gt;"",$C191&gt;=TODAY(),N($D191)+1&gt;=IMPOSTAZIONI!$C$5)," · ultima del ciclo, proponi il mantenimento","")&amp;IF(AND($C191&lt;&gt;"",$C191&gt;=TODAY(),$I191&lt;&gt;"",$C191-$I191&lt;IMPOSTAZIONI!$C$6)," · rientro anticipato, meno di "&amp;IMPOSTAZIONI!$C$6&amp;" giorni","")&amp;IF(AND($C191&lt;&gt;"",$C191&gt;=TODAY(),$I191&lt;&gt;"",$C191-$I191&gt;IMPOSTAZIONI!$C$7)," · rientro oltre "&amp;IMPOSTAZIONI!$C$7&amp;" giorni",""))=0,"",MID(IF(AND($C191&lt;&gt;"",$C191=TODAY())," · oggi in centro","")&amp;IF(AND($C191&lt;&gt;"",$C191&gt;=TODAY(),N($D191)+1&gt;=IMPOSTAZIONI!$C$5)," · ultima del ciclo, proponi il mantenimento","")&amp;IF(AND($C191&lt;&gt;"",$C191&gt;=TODAY(),$I191&lt;&gt;"",$C191-$I191&lt;IMPOSTAZIONI!$C$6)," · rientro anticipato, meno di "&amp;IMPOSTAZIONI!$C$6&amp;" giorni","")&amp;IF(AND($C191&lt;&gt;"",$C191&gt;=TODAY(),$I191&lt;&gt;"",$C191-$I191&gt;IMPOSTAZIONI!$C$7)," · rientro oltre "&amp;IMPOSTAZIONI!$C$7&amp;" giorni",""),4,300)))</f>
        <v/>
      </c>
      <c r="G191" s="16" t="n"/>
      <c r="H191" s="11" t="n"/>
      <c r="I191" s="13" t="n"/>
      <c r="J191" s="17">
        <f>IF($I191="","",TODAY()-$I191)</f>
        <v/>
      </c>
      <c r="K191" s="17">
        <f>IF($C191="","",$C191-TODAY())</f>
        <v/>
      </c>
      <c r="L191" s="15">
        <f>IF($A191="","",N($D191)&amp;"/"&amp;IMPOSTAZIONI!$C$5)</f>
        <v/>
      </c>
      <c r="M191" s="15">
        <f>IF($S191="","",IF($S191="RECUPERA CON INCENTIVO",INCENTIVI!$C$7,IF($S191="RICHIAMO MANTENIMENTO",INCENTIVI!$C$6,IF(OR($S191="FUORI FINESTRA",$S191="ULTIMA SEDUTA"),INCENTIVI!$C$5,""))))</f>
        <v/>
      </c>
      <c r="N191" s="18" t="n"/>
      <c r="O191" s="19">
        <f>IF($A191="","",N($D191)*N($N191))</f>
        <v/>
      </c>
      <c r="P191" s="19">
        <f>IF($A191="","",MAX(0,(IMPOSTAZIONI!$C$5-N($D191))*N($N191)))</f>
        <v/>
      </c>
      <c r="Q191" s="13" t="n"/>
      <c r="R191" s="11" t="n"/>
      <c r="S191" s="15">
        <f>IF($A191="","",IF(AND($C191&lt;&gt;"",$C191&lt;TODAY(),OR($I191="",$I191&lt;$C191)),"APPUNTAMENTO SALTATO",IF(AND($C191&lt;&gt;"",$C191-TODAY()=1),"CONFERMA DOMANI",IF(AND($C191&lt;&gt;"",$C191-TODAY()=IMPOSTAZIONI!$C$8),"CHIAMA PER CONFERMA",IF(AND($C191&lt;&gt;"",$C191&gt;=TODAY()),"",IF($E191="Sospesa","",IF($E191="Persa","RECUPERA CON INCENTIVO",IF(AND($I191&lt;&gt;"",TODAY()&gt;=EDATE($I191,IMPOSTAZIONI!$C$10)),"RECUPERA CON INCENTIVO",IF($E191="Mantenimento",IF(AND($I191&lt;&gt;"",TODAY()-$I191&gt;=IMPOSTAZIONI!$C$9),"RICHIAMO MANTENIMENTO",""),IF($E191="In ciclo",IF(N($D191)&gt;=IMPOSTAZIONI!$C$5,"ULTIMA SEDUTA",IF(AND($I191&lt;&gt;"",TODAY()-$I191&gt;IMPOSTAZIONI!$C$7),"FUORI FINESTRA","PRENDI APPUNTAMENTO")),IF($E191="Da contattare","PRENDI APPUNTAMENTO","")))))))))))</f>
        <v/>
      </c>
      <c r="T191" s="17">
        <f>IF($S191="","",IFERROR(MATCH($S191,IMPOSTAZIONI!$F$5:$F$12,0),9)*100000000+(9999-MIN(9999,ROUND(N($O191)/100,0)))*10000+ROW())</f>
        <v/>
      </c>
    </row>
    <row r="192">
      <c r="A192" s="11" t="n"/>
      <c r="B192" s="12">
        <f>IF($S192="","",IFERROR(MATCH($S192,IMPOSTAZIONI!$F$5:$F$12,0),9)&amp;" · "&amp;$S192)</f>
        <v/>
      </c>
      <c r="C192" s="13" t="n"/>
      <c r="D192" s="14" t="n"/>
      <c r="E192" s="11" t="n"/>
      <c r="F192" s="15">
        <f>IF($A192="","",IF(LEN(IF(AND($C192&lt;&gt;"",$C192=TODAY())," · oggi in centro","")&amp;IF(AND($C192&lt;&gt;"",$C192&gt;=TODAY(),N($D192)+1&gt;=IMPOSTAZIONI!$C$5)," · ultima del ciclo, proponi il mantenimento","")&amp;IF(AND($C192&lt;&gt;"",$C192&gt;=TODAY(),$I192&lt;&gt;"",$C192-$I192&lt;IMPOSTAZIONI!$C$6)," · rientro anticipato, meno di "&amp;IMPOSTAZIONI!$C$6&amp;" giorni","")&amp;IF(AND($C192&lt;&gt;"",$C192&gt;=TODAY(),$I192&lt;&gt;"",$C192-$I192&gt;IMPOSTAZIONI!$C$7)," · rientro oltre "&amp;IMPOSTAZIONI!$C$7&amp;" giorni",""))=0,"",MID(IF(AND($C192&lt;&gt;"",$C192=TODAY())," · oggi in centro","")&amp;IF(AND($C192&lt;&gt;"",$C192&gt;=TODAY(),N($D192)+1&gt;=IMPOSTAZIONI!$C$5)," · ultima del ciclo, proponi il mantenimento","")&amp;IF(AND($C192&lt;&gt;"",$C192&gt;=TODAY(),$I192&lt;&gt;"",$C192-$I192&lt;IMPOSTAZIONI!$C$6)," · rientro anticipato, meno di "&amp;IMPOSTAZIONI!$C$6&amp;" giorni","")&amp;IF(AND($C192&lt;&gt;"",$C192&gt;=TODAY(),$I192&lt;&gt;"",$C192-$I192&gt;IMPOSTAZIONI!$C$7)," · rientro oltre "&amp;IMPOSTAZIONI!$C$7&amp;" giorni",""),4,300)))</f>
        <v/>
      </c>
      <c r="G192" s="16" t="n"/>
      <c r="H192" s="11" t="n"/>
      <c r="I192" s="13" t="n"/>
      <c r="J192" s="17">
        <f>IF($I192="","",TODAY()-$I192)</f>
        <v/>
      </c>
      <c r="K192" s="17">
        <f>IF($C192="","",$C192-TODAY())</f>
        <v/>
      </c>
      <c r="L192" s="15">
        <f>IF($A192="","",N($D192)&amp;"/"&amp;IMPOSTAZIONI!$C$5)</f>
        <v/>
      </c>
      <c r="M192" s="15">
        <f>IF($S192="","",IF($S192="RECUPERA CON INCENTIVO",INCENTIVI!$C$7,IF($S192="RICHIAMO MANTENIMENTO",INCENTIVI!$C$6,IF(OR($S192="FUORI FINESTRA",$S192="ULTIMA SEDUTA"),INCENTIVI!$C$5,""))))</f>
        <v/>
      </c>
      <c r="N192" s="18" t="n"/>
      <c r="O192" s="19">
        <f>IF($A192="","",N($D192)*N($N192))</f>
        <v/>
      </c>
      <c r="P192" s="19">
        <f>IF($A192="","",MAX(0,(IMPOSTAZIONI!$C$5-N($D192))*N($N192)))</f>
        <v/>
      </c>
      <c r="Q192" s="13" t="n"/>
      <c r="R192" s="11" t="n"/>
      <c r="S192" s="15">
        <f>IF($A192="","",IF(AND($C192&lt;&gt;"",$C192&lt;TODAY(),OR($I192="",$I192&lt;$C192)),"APPUNTAMENTO SALTATO",IF(AND($C192&lt;&gt;"",$C192-TODAY()=1),"CONFERMA DOMANI",IF(AND($C192&lt;&gt;"",$C192-TODAY()=IMPOSTAZIONI!$C$8),"CHIAMA PER CONFERMA",IF(AND($C192&lt;&gt;"",$C192&gt;=TODAY()),"",IF($E192="Sospesa","",IF($E192="Persa","RECUPERA CON INCENTIVO",IF(AND($I192&lt;&gt;"",TODAY()&gt;=EDATE($I192,IMPOSTAZIONI!$C$10)),"RECUPERA CON INCENTIVO",IF($E192="Mantenimento",IF(AND($I192&lt;&gt;"",TODAY()-$I192&gt;=IMPOSTAZIONI!$C$9),"RICHIAMO MANTENIMENTO",""),IF($E192="In ciclo",IF(N($D192)&gt;=IMPOSTAZIONI!$C$5,"ULTIMA SEDUTA",IF(AND($I192&lt;&gt;"",TODAY()-$I192&gt;IMPOSTAZIONI!$C$7),"FUORI FINESTRA","PRENDI APPUNTAMENTO")),IF($E192="Da contattare","PRENDI APPUNTAMENTO","")))))))))))</f>
        <v/>
      </c>
      <c r="T192" s="17">
        <f>IF($S192="","",IFERROR(MATCH($S192,IMPOSTAZIONI!$F$5:$F$12,0),9)*100000000+(9999-MIN(9999,ROUND(N($O192)/100,0)))*10000+ROW())</f>
        <v/>
      </c>
    </row>
    <row r="193">
      <c r="A193" s="11" t="n"/>
      <c r="B193" s="12">
        <f>IF($S193="","",IFERROR(MATCH($S193,IMPOSTAZIONI!$F$5:$F$12,0),9)&amp;" · "&amp;$S193)</f>
        <v/>
      </c>
      <c r="C193" s="13" t="n"/>
      <c r="D193" s="14" t="n"/>
      <c r="E193" s="11" t="n"/>
      <c r="F193" s="15">
        <f>IF($A193="","",IF(LEN(IF(AND($C193&lt;&gt;"",$C193=TODAY())," · oggi in centro","")&amp;IF(AND($C193&lt;&gt;"",$C193&gt;=TODAY(),N($D193)+1&gt;=IMPOSTAZIONI!$C$5)," · ultima del ciclo, proponi il mantenimento","")&amp;IF(AND($C193&lt;&gt;"",$C193&gt;=TODAY(),$I193&lt;&gt;"",$C193-$I193&lt;IMPOSTAZIONI!$C$6)," · rientro anticipato, meno di "&amp;IMPOSTAZIONI!$C$6&amp;" giorni","")&amp;IF(AND($C193&lt;&gt;"",$C193&gt;=TODAY(),$I193&lt;&gt;"",$C193-$I193&gt;IMPOSTAZIONI!$C$7)," · rientro oltre "&amp;IMPOSTAZIONI!$C$7&amp;" giorni",""))=0,"",MID(IF(AND($C193&lt;&gt;"",$C193=TODAY())," · oggi in centro","")&amp;IF(AND($C193&lt;&gt;"",$C193&gt;=TODAY(),N($D193)+1&gt;=IMPOSTAZIONI!$C$5)," · ultima del ciclo, proponi il mantenimento","")&amp;IF(AND($C193&lt;&gt;"",$C193&gt;=TODAY(),$I193&lt;&gt;"",$C193-$I193&lt;IMPOSTAZIONI!$C$6)," · rientro anticipato, meno di "&amp;IMPOSTAZIONI!$C$6&amp;" giorni","")&amp;IF(AND($C193&lt;&gt;"",$C193&gt;=TODAY(),$I193&lt;&gt;"",$C193-$I193&gt;IMPOSTAZIONI!$C$7)," · rientro oltre "&amp;IMPOSTAZIONI!$C$7&amp;" giorni",""),4,300)))</f>
        <v/>
      </c>
      <c r="G193" s="16" t="n"/>
      <c r="H193" s="11" t="n"/>
      <c r="I193" s="13" t="n"/>
      <c r="J193" s="17">
        <f>IF($I193="","",TODAY()-$I193)</f>
        <v/>
      </c>
      <c r="K193" s="17">
        <f>IF($C193="","",$C193-TODAY())</f>
        <v/>
      </c>
      <c r="L193" s="15">
        <f>IF($A193="","",N($D193)&amp;"/"&amp;IMPOSTAZIONI!$C$5)</f>
        <v/>
      </c>
      <c r="M193" s="15">
        <f>IF($S193="","",IF($S193="RECUPERA CON INCENTIVO",INCENTIVI!$C$7,IF($S193="RICHIAMO MANTENIMENTO",INCENTIVI!$C$6,IF(OR($S193="FUORI FINESTRA",$S193="ULTIMA SEDUTA"),INCENTIVI!$C$5,""))))</f>
        <v/>
      </c>
      <c r="N193" s="18" t="n"/>
      <c r="O193" s="19">
        <f>IF($A193="","",N($D193)*N($N193))</f>
        <v/>
      </c>
      <c r="P193" s="19">
        <f>IF($A193="","",MAX(0,(IMPOSTAZIONI!$C$5-N($D193))*N($N193)))</f>
        <v/>
      </c>
      <c r="Q193" s="13" t="n"/>
      <c r="R193" s="11" t="n"/>
      <c r="S193" s="15">
        <f>IF($A193="","",IF(AND($C193&lt;&gt;"",$C193&lt;TODAY(),OR($I193="",$I193&lt;$C193)),"APPUNTAMENTO SALTATO",IF(AND($C193&lt;&gt;"",$C193-TODAY()=1),"CONFERMA DOMANI",IF(AND($C193&lt;&gt;"",$C193-TODAY()=IMPOSTAZIONI!$C$8),"CHIAMA PER CONFERMA",IF(AND($C193&lt;&gt;"",$C193&gt;=TODAY()),"",IF($E193="Sospesa","",IF($E193="Persa","RECUPERA CON INCENTIVO",IF(AND($I193&lt;&gt;"",TODAY()&gt;=EDATE($I193,IMPOSTAZIONI!$C$10)),"RECUPERA CON INCENTIVO",IF($E193="Mantenimento",IF(AND($I193&lt;&gt;"",TODAY()-$I193&gt;=IMPOSTAZIONI!$C$9),"RICHIAMO MANTENIMENTO",""),IF($E193="In ciclo",IF(N($D193)&gt;=IMPOSTAZIONI!$C$5,"ULTIMA SEDUTA",IF(AND($I193&lt;&gt;"",TODAY()-$I193&gt;IMPOSTAZIONI!$C$7),"FUORI FINESTRA","PRENDI APPUNTAMENTO")),IF($E193="Da contattare","PRENDI APPUNTAMENTO","")))))))))))</f>
        <v/>
      </c>
      <c r="T193" s="17">
        <f>IF($S193="","",IFERROR(MATCH($S193,IMPOSTAZIONI!$F$5:$F$12,0),9)*100000000+(9999-MIN(9999,ROUND(N($O193)/100,0)))*10000+ROW())</f>
        <v/>
      </c>
    </row>
    <row r="194">
      <c r="A194" s="11" t="n"/>
      <c r="B194" s="12">
        <f>IF($S194="","",IFERROR(MATCH($S194,IMPOSTAZIONI!$F$5:$F$12,0),9)&amp;" · "&amp;$S194)</f>
        <v/>
      </c>
      <c r="C194" s="13" t="n"/>
      <c r="D194" s="14" t="n"/>
      <c r="E194" s="11" t="n"/>
      <c r="F194" s="15">
        <f>IF($A194="","",IF(LEN(IF(AND($C194&lt;&gt;"",$C194=TODAY())," · oggi in centro","")&amp;IF(AND($C194&lt;&gt;"",$C194&gt;=TODAY(),N($D194)+1&gt;=IMPOSTAZIONI!$C$5)," · ultima del ciclo, proponi il mantenimento","")&amp;IF(AND($C194&lt;&gt;"",$C194&gt;=TODAY(),$I194&lt;&gt;"",$C194-$I194&lt;IMPOSTAZIONI!$C$6)," · rientro anticipato, meno di "&amp;IMPOSTAZIONI!$C$6&amp;" giorni","")&amp;IF(AND($C194&lt;&gt;"",$C194&gt;=TODAY(),$I194&lt;&gt;"",$C194-$I194&gt;IMPOSTAZIONI!$C$7)," · rientro oltre "&amp;IMPOSTAZIONI!$C$7&amp;" giorni",""))=0,"",MID(IF(AND($C194&lt;&gt;"",$C194=TODAY())," · oggi in centro","")&amp;IF(AND($C194&lt;&gt;"",$C194&gt;=TODAY(),N($D194)+1&gt;=IMPOSTAZIONI!$C$5)," · ultima del ciclo, proponi il mantenimento","")&amp;IF(AND($C194&lt;&gt;"",$C194&gt;=TODAY(),$I194&lt;&gt;"",$C194-$I194&lt;IMPOSTAZIONI!$C$6)," · rientro anticipato, meno di "&amp;IMPOSTAZIONI!$C$6&amp;" giorni","")&amp;IF(AND($C194&lt;&gt;"",$C194&gt;=TODAY(),$I194&lt;&gt;"",$C194-$I194&gt;IMPOSTAZIONI!$C$7)," · rientro oltre "&amp;IMPOSTAZIONI!$C$7&amp;" giorni",""),4,300)))</f>
        <v/>
      </c>
      <c r="G194" s="16" t="n"/>
      <c r="H194" s="11" t="n"/>
      <c r="I194" s="13" t="n"/>
      <c r="J194" s="17">
        <f>IF($I194="","",TODAY()-$I194)</f>
        <v/>
      </c>
      <c r="K194" s="17">
        <f>IF($C194="","",$C194-TODAY())</f>
        <v/>
      </c>
      <c r="L194" s="15">
        <f>IF($A194="","",N($D194)&amp;"/"&amp;IMPOSTAZIONI!$C$5)</f>
        <v/>
      </c>
      <c r="M194" s="15">
        <f>IF($S194="","",IF($S194="RECUPERA CON INCENTIVO",INCENTIVI!$C$7,IF($S194="RICHIAMO MANTENIMENTO",INCENTIVI!$C$6,IF(OR($S194="FUORI FINESTRA",$S194="ULTIMA SEDUTA"),INCENTIVI!$C$5,""))))</f>
        <v/>
      </c>
      <c r="N194" s="18" t="n"/>
      <c r="O194" s="19">
        <f>IF($A194="","",N($D194)*N($N194))</f>
        <v/>
      </c>
      <c r="P194" s="19">
        <f>IF($A194="","",MAX(0,(IMPOSTAZIONI!$C$5-N($D194))*N($N194)))</f>
        <v/>
      </c>
      <c r="Q194" s="13" t="n"/>
      <c r="R194" s="11" t="n"/>
      <c r="S194" s="15">
        <f>IF($A194="","",IF(AND($C194&lt;&gt;"",$C194&lt;TODAY(),OR($I194="",$I194&lt;$C194)),"APPUNTAMENTO SALTATO",IF(AND($C194&lt;&gt;"",$C194-TODAY()=1),"CONFERMA DOMANI",IF(AND($C194&lt;&gt;"",$C194-TODAY()=IMPOSTAZIONI!$C$8),"CHIAMA PER CONFERMA",IF(AND($C194&lt;&gt;"",$C194&gt;=TODAY()),"",IF($E194="Sospesa","",IF($E194="Persa","RECUPERA CON INCENTIVO",IF(AND($I194&lt;&gt;"",TODAY()&gt;=EDATE($I194,IMPOSTAZIONI!$C$10)),"RECUPERA CON INCENTIVO",IF($E194="Mantenimento",IF(AND($I194&lt;&gt;"",TODAY()-$I194&gt;=IMPOSTAZIONI!$C$9),"RICHIAMO MANTENIMENTO",""),IF($E194="In ciclo",IF(N($D194)&gt;=IMPOSTAZIONI!$C$5,"ULTIMA SEDUTA",IF(AND($I194&lt;&gt;"",TODAY()-$I194&gt;IMPOSTAZIONI!$C$7),"FUORI FINESTRA","PRENDI APPUNTAMENTO")),IF($E194="Da contattare","PRENDI APPUNTAMENTO","")))))))))))</f>
        <v/>
      </c>
      <c r="T194" s="17">
        <f>IF($S194="","",IFERROR(MATCH($S194,IMPOSTAZIONI!$F$5:$F$12,0),9)*100000000+(9999-MIN(9999,ROUND(N($O194)/100,0)))*10000+ROW())</f>
        <v/>
      </c>
    </row>
    <row r="195">
      <c r="A195" s="11" t="n"/>
      <c r="B195" s="12">
        <f>IF($S195="","",IFERROR(MATCH($S195,IMPOSTAZIONI!$F$5:$F$12,0),9)&amp;" · "&amp;$S195)</f>
        <v/>
      </c>
      <c r="C195" s="13" t="n"/>
      <c r="D195" s="14" t="n"/>
      <c r="E195" s="11" t="n"/>
      <c r="F195" s="15">
        <f>IF($A195="","",IF(LEN(IF(AND($C195&lt;&gt;"",$C195=TODAY())," · oggi in centro","")&amp;IF(AND($C195&lt;&gt;"",$C195&gt;=TODAY(),N($D195)+1&gt;=IMPOSTAZIONI!$C$5)," · ultima del ciclo, proponi il mantenimento","")&amp;IF(AND($C195&lt;&gt;"",$C195&gt;=TODAY(),$I195&lt;&gt;"",$C195-$I195&lt;IMPOSTAZIONI!$C$6)," · rientro anticipato, meno di "&amp;IMPOSTAZIONI!$C$6&amp;" giorni","")&amp;IF(AND($C195&lt;&gt;"",$C195&gt;=TODAY(),$I195&lt;&gt;"",$C195-$I195&gt;IMPOSTAZIONI!$C$7)," · rientro oltre "&amp;IMPOSTAZIONI!$C$7&amp;" giorni",""))=0,"",MID(IF(AND($C195&lt;&gt;"",$C195=TODAY())," · oggi in centro","")&amp;IF(AND($C195&lt;&gt;"",$C195&gt;=TODAY(),N($D195)+1&gt;=IMPOSTAZIONI!$C$5)," · ultima del ciclo, proponi il mantenimento","")&amp;IF(AND($C195&lt;&gt;"",$C195&gt;=TODAY(),$I195&lt;&gt;"",$C195-$I195&lt;IMPOSTAZIONI!$C$6)," · rientro anticipato, meno di "&amp;IMPOSTAZIONI!$C$6&amp;" giorni","")&amp;IF(AND($C195&lt;&gt;"",$C195&gt;=TODAY(),$I195&lt;&gt;"",$C195-$I195&gt;IMPOSTAZIONI!$C$7)," · rientro oltre "&amp;IMPOSTAZIONI!$C$7&amp;" giorni",""),4,300)))</f>
        <v/>
      </c>
      <c r="G195" s="16" t="n"/>
      <c r="H195" s="11" t="n"/>
      <c r="I195" s="13" t="n"/>
      <c r="J195" s="17">
        <f>IF($I195="","",TODAY()-$I195)</f>
        <v/>
      </c>
      <c r="K195" s="17">
        <f>IF($C195="","",$C195-TODAY())</f>
        <v/>
      </c>
      <c r="L195" s="15">
        <f>IF($A195="","",N($D195)&amp;"/"&amp;IMPOSTAZIONI!$C$5)</f>
        <v/>
      </c>
      <c r="M195" s="15">
        <f>IF($S195="","",IF($S195="RECUPERA CON INCENTIVO",INCENTIVI!$C$7,IF($S195="RICHIAMO MANTENIMENTO",INCENTIVI!$C$6,IF(OR($S195="FUORI FINESTRA",$S195="ULTIMA SEDUTA"),INCENTIVI!$C$5,""))))</f>
        <v/>
      </c>
      <c r="N195" s="18" t="n"/>
      <c r="O195" s="19">
        <f>IF($A195="","",N($D195)*N($N195))</f>
        <v/>
      </c>
      <c r="P195" s="19">
        <f>IF($A195="","",MAX(0,(IMPOSTAZIONI!$C$5-N($D195))*N($N195)))</f>
        <v/>
      </c>
      <c r="Q195" s="13" t="n"/>
      <c r="R195" s="11" t="n"/>
      <c r="S195" s="15">
        <f>IF($A195="","",IF(AND($C195&lt;&gt;"",$C195&lt;TODAY(),OR($I195="",$I195&lt;$C195)),"APPUNTAMENTO SALTATO",IF(AND($C195&lt;&gt;"",$C195-TODAY()=1),"CONFERMA DOMANI",IF(AND($C195&lt;&gt;"",$C195-TODAY()=IMPOSTAZIONI!$C$8),"CHIAMA PER CONFERMA",IF(AND($C195&lt;&gt;"",$C195&gt;=TODAY()),"",IF($E195="Sospesa","",IF($E195="Persa","RECUPERA CON INCENTIVO",IF(AND($I195&lt;&gt;"",TODAY()&gt;=EDATE($I195,IMPOSTAZIONI!$C$10)),"RECUPERA CON INCENTIVO",IF($E195="Mantenimento",IF(AND($I195&lt;&gt;"",TODAY()-$I195&gt;=IMPOSTAZIONI!$C$9),"RICHIAMO MANTENIMENTO",""),IF($E195="In ciclo",IF(N($D195)&gt;=IMPOSTAZIONI!$C$5,"ULTIMA SEDUTA",IF(AND($I195&lt;&gt;"",TODAY()-$I195&gt;IMPOSTAZIONI!$C$7),"FUORI FINESTRA","PRENDI APPUNTAMENTO")),IF($E195="Da contattare","PRENDI APPUNTAMENTO","")))))))))))</f>
        <v/>
      </c>
      <c r="T195" s="17">
        <f>IF($S195="","",IFERROR(MATCH($S195,IMPOSTAZIONI!$F$5:$F$12,0),9)*100000000+(9999-MIN(9999,ROUND(N($O195)/100,0)))*10000+ROW())</f>
        <v/>
      </c>
    </row>
    <row r="196">
      <c r="A196" s="11" t="n"/>
      <c r="B196" s="12">
        <f>IF($S196="","",IFERROR(MATCH($S196,IMPOSTAZIONI!$F$5:$F$12,0),9)&amp;" · "&amp;$S196)</f>
        <v/>
      </c>
      <c r="C196" s="13" t="n"/>
      <c r="D196" s="14" t="n"/>
      <c r="E196" s="11" t="n"/>
      <c r="F196" s="15">
        <f>IF($A196="","",IF(LEN(IF(AND($C196&lt;&gt;"",$C196=TODAY())," · oggi in centro","")&amp;IF(AND($C196&lt;&gt;"",$C196&gt;=TODAY(),N($D196)+1&gt;=IMPOSTAZIONI!$C$5)," · ultima del ciclo, proponi il mantenimento","")&amp;IF(AND($C196&lt;&gt;"",$C196&gt;=TODAY(),$I196&lt;&gt;"",$C196-$I196&lt;IMPOSTAZIONI!$C$6)," · rientro anticipato, meno di "&amp;IMPOSTAZIONI!$C$6&amp;" giorni","")&amp;IF(AND($C196&lt;&gt;"",$C196&gt;=TODAY(),$I196&lt;&gt;"",$C196-$I196&gt;IMPOSTAZIONI!$C$7)," · rientro oltre "&amp;IMPOSTAZIONI!$C$7&amp;" giorni",""))=0,"",MID(IF(AND($C196&lt;&gt;"",$C196=TODAY())," · oggi in centro","")&amp;IF(AND($C196&lt;&gt;"",$C196&gt;=TODAY(),N($D196)+1&gt;=IMPOSTAZIONI!$C$5)," · ultima del ciclo, proponi il mantenimento","")&amp;IF(AND($C196&lt;&gt;"",$C196&gt;=TODAY(),$I196&lt;&gt;"",$C196-$I196&lt;IMPOSTAZIONI!$C$6)," · rientro anticipato, meno di "&amp;IMPOSTAZIONI!$C$6&amp;" giorni","")&amp;IF(AND($C196&lt;&gt;"",$C196&gt;=TODAY(),$I196&lt;&gt;"",$C196-$I196&gt;IMPOSTAZIONI!$C$7)," · rientro oltre "&amp;IMPOSTAZIONI!$C$7&amp;" giorni",""),4,300)))</f>
        <v/>
      </c>
      <c r="G196" s="16" t="n"/>
      <c r="H196" s="11" t="n"/>
      <c r="I196" s="13" t="n"/>
      <c r="J196" s="17">
        <f>IF($I196="","",TODAY()-$I196)</f>
        <v/>
      </c>
      <c r="K196" s="17">
        <f>IF($C196="","",$C196-TODAY())</f>
        <v/>
      </c>
      <c r="L196" s="15">
        <f>IF($A196="","",N($D196)&amp;"/"&amp;IMPOSTAZIONI!$C$5)</f>
        <v/>
      </c>
      <c r="M196" s="15">
        <f>IF($S196="","",IF($S196="RECUPERA CON INCENTIVO",INCENTIVI!$C$7,IF($S196="RICHIAMO MANTENIMENTO",INCENTIVI!$C$6,IF(OR($S196="FUORI FINESTRA",$S196="ULTIMA SEDUTA"),INCENTIVI!$C$5,""))))</f>
        <v/>
      </c>
      <c r="N196" s="18" t="n"/>
      <c r="O196" s="19">
        <f>IF($A196="","",N($D196)*N($N196))</f>
        <v/>
      </c>
      <c r="P196" s="19">
        <f>IF($A196="","",MAX(0,(IMPOSTAZIONI!$C$5-N($D196))*N($N196)))</f>
        <v/>
      </c>
      <c r="Q196" s="13" t="n"/>
      <c r="R196" s="11" t="n"/>
      <c r="S196" s="15">
        <f>IF($A196="","",IF(AND($C196&lt;&gt;"",$C196&lt;TODAY(),OR($I196="",$I196&lt;$C196)),"APPUNTAMENTO SALTATO",IF(AND($C196&lt;&gt;"",$C196-TODAY()=1),"CONFERMA DOMANI",IF(AND($C196&lt;&gt;"",$C196-TODAY()=IMPOSTAZIONI!$C$8),"CHIAMA PER CONFERMA",IF(AND($C196&lt;&gt;"",$C196&gt;=TODAY()),"",IF($E196="Sospesa","",IF($E196="Persa","RECUPERA CON INCENTIVO",IF(AND($I196&lt;&gt;"",TODAY()&gt;=EDATE($I196,IMPOSTAZIONI!$C$10)),"RECUPERA CON INCENTIVO",IF($E196="Mantenimento",IF(AND($I196&lt;&gt;"",TODAY()-$I196&gt;=IMPOSTAZIONI!$C$9),"RICHIAMO MANTENIMENTO",""),IF($E196="In ciclo",IF(N($D196)&gt;=IMPOSTAZIONI!$C$5,"ULTIMA SEDUTA",IF(AND($I196&lt;&gt;"",TODAY()-$I196&gt;IMPOSTAZIONI!$C$7),"FUORI FINESTRA","PRENDI APPUNTAMENTO")),IF($E196="Da contattare","PRENDI APPUNTAMENTO","")))))))))))</f>
        <v/>
      </c>
      <c r="T196" s="17">
        <f>IF($S196="","",IFERROR(MATCH($S196,IMPOSTAZIONI!$F$5:$F$12,0),9)*100000000+(9999-MIN(9999,ROUND(N($O196)/100,0)))*10000+ROW())</f>
        <v/>
      </c>
    </row>
    <row r="197">
      <c r="A197" s="11" t="n"/>
      <c r="B197" s="12">
        <f>IF($S197="","",IFERROR(MATCH($S197,IMPOSTAZIONI!$F$5:$F$12,0),9)&amp;" · "&amp;$S197)</f>
        <v/>
      </c>
      <c r="C197" s="13" t="n"/>
      <c r="D197" s="14" t="n"/>
      <c r="E197" s="11" t="n"/>
      <c r="F197" s="15">
        <f>IF($A197="","",IF(LEN(IF(AND($C197&lt;&gt;"",$C197=TODAY())," · oggi in centro","")&amp;IF(AND($C197&lt;&gt;"",$C197&gt;=TODAY(),N($D197)+1&gt;=IMPOSTAZIONI!$C$5)," · ultima del ciclo, proponi il mantenimento","")&amp;IF(AND($C197&lt;&gt;"",$C197&gt;=TODAY(),$I197&lt;&gt;"",$C197-$I197&lt;IMPOSTAZIONI!$C$6)," · rientro anticipato, meno di "&amp;IMPOSTAZIONI!$C$6&amp;" giorni","")&amp;IF(AND($C197&lt;&gt;"",$C197&gt;=TODAY(),$I197&lt;&gt;"",$C197-$I197&gt;IMPOSTAZIONI!$C$7)," · rientro oltre "&amp;IMPOSTAZIONI!$C$7&amp;" giorni",""))=0,"",MID(IF(AND($C197&lt;&gt;"",$C197=TODAY())," · oggi in centro","")&amp;IF(AND($C197&lt;&gt;"",$C197&gt;=TODAY(),N($D197)+1&gt;=IMPOSTAZIONI!$C$5)," · ultima del ciclo, proponi il mantenimento","")&amp;IF(AND($C197&lt;&gt;"",$C197&gt;=TODAY(),$I197&lt;&gt;"",$C197-$I197&lt;IMPOSTAZIONI!$C$6)," · rientro anticipato, meno di "&amp;IMPOSTAZIONI!$C$6&amp;" giorni","")&amp;IF(AND($C197&lt;&gt;"",$C197&gt;=TODAY(),$I197&lt;&gt;"",$C197-$I197&gt;IMPOSTAZIONI!$C$7)," · rientro oltre "&amp;IMPOSTAZIONI!$C$7&amp;" giorni",""),4,300)))</f>
        <v/>
      </c>
      <c r="G197" s="16" t="n"/>
      <c r="H197" s="11" t="n"/>
      <c r="I197" s="13" t="n"/>
      <c r="J197" s="17">
        <f>IF($I197="","",TODAY()-$I197)</f>
        <v/>
      </c>
      <c r="K197" s="17">
        <f>IF($C197="","",$C197-TODAY())</f>
        <v/>
      </c>
      <c r="L197" s="15">
        <f>IF($A197="","",N($D197)&amp;"/"&amp;IMPOSTAZIONI!$C$5)</f>
        <v/>
      </c>
      <c r="M197" s="15">
        <f>IF($S197="","",IF($S197="RECUPERA CON INCENTIVO",INCENTIVI!$C$7,IF($S197="RICHIAMO MANTENIMENTO",INCENTIVI!$C$6,IF(OR($S197="FUORI FINESTRA",$S197="ULTIMA SEDUTA"),INCENTIVI!$C$5,""))))</f>
        <v/>
      </c>
      <c r="N197" s="18" t="n"/>
      <c r="O197" s="19">
        <f>IF($A197="","",N($D197)*N($N197))</f>
        <v/>
      </c>
      <c r="P197" s="19">
        <f>IF($A197="","",MAX(0,(IMPOSTAZIONI!$C$5-N($D197))*N($N197)))</f>
        <v/>
      </c>
      <c r="Q197" s="13" t="n"/>
      <c r="R197" s="11" t="n"/>
      <c r="S197" s="15">
        <f>IF($A197="","",IF(AND($C197&lt;&gt;"",$C197&lt;TODAY(),OR($I197="",$I197&lt;$C197)),"APPUNTAMENTO SALTATO",IF(AND($C197&lt;&gt;"",$C197-TODAY()=1),"CONFERMA DOMANI",IF(AND($C197&lt;&gt;"",$C197-TODAY()=IMPOSTAZIONI!$C$8),"CHIAMA PER CONFERMA",IF(AND($C197&lt;&gt;"",$C197&gt;=TODAY()),"",IF($E197="Sospesa","",IF($E197="Persa","RECUPERA CON INCENTIVO",IF(AND($I197&lt;&gt;"",TODAY()&gt;=EDATE($I197,IMPOSTAZIONI!$C$10)),"RECUPERA CON INCENTIVO",IF($E197="Mantenimento",IF(AND($I197&lt;&gt;"",TODAY()-$I197&gt;=IMPOSTAZIONI!$C$9),"RICHIAMO MANTENIMENTO",""),IF($E197="In ciclo",IF(N($D197)&gt;=IMPOSTAZIONI!$C$5,"ULTIMA SEDUTA",IF(AND($I197&lt;&gt;"",TODAY()-$I197&gt;IMPOSTAZIONI!$C$7),"FUORI FINESTRA","PRENDI APPUNTAMENTO")),IF($E197="Da contattare","PRENDI APPUNTAMENTO","")))))))))))</f>
        <v/>
      </c>
      <c r="T197" s="17">
        <f>IF($S197="","",IFERROR(MATCH($S197,IMPOSTAZIONI!$F$5:$F$12,0),9)*100000000+(9999-MIN(9999,ROUND(N($O197)/100,0)))*10000+ROW())</f>
        <v/>
      </c>
    </row>
    <row r="198">
      <c r="A198" s="11" t="n"/>
      <c r="B198" s="12">
        <f>IF($S198="","",IFERROR(MATCH($S198,IMPOSTAZIONI!$F$5:$F$12,0),9)&amp;" · "&amp;$S198)</f>
        <v/>
      </c>
      <c r="C198" s="13" t="n"/>
      <c r="D198" s="14" t="n"/>
      <c r="E198" s="11" t="n"/>
      <c r="F198" s="15">
        <f>IF($A198="","",IF(LEN(IF(AND($C198&lt;&gt;"",$C198=TODAY())," · oggi in centro","")&amp;IF(AND($C198&lt;&gt;"",$C198&gt;=TODAY(),N($D198)+1&gt;=IMPOSTAZIONI!$C$5)," · ultima del ciclo, proponi il mantenimento","")&amp;IF(AND($C198&lt;&gt;"",$C198&gt;=TODAY(),$I198&lt;&gt;"",$C198-$I198&lt;IMPOSTAZIONI!$C$6)," · rientro anticipato, meno di "&amp;IMPOSTAZIONI!$C$6&amp;" giorni","")&amp;IF(AND($C198&lt;&gt;"",$C198&gt;=TODAY(),$I198&lt;&gt;"",$C198-$I198&gt;IMPOSTAZIONI!$C$7)," · rientro oltre "&amp;IMPOSTAZIONI!$C$7&amp;" giorni",""))=0,"",MID(IF(AND($C198&lt;&gt;"",$C198=TODAY())," · oggi in centro","")&amp;IF(AND($C198&lt;&gt;"",$C198&gt;=TODAY(),N($D198)+1&gt;=IMPOSTAZIONI!$C$5)," · ultima del ciclo, proponi il mantenimento","")&amp;IF(AND($C198&lt;&gt;"",$C198&gt;=TODAY(),$I198&lt;&gt;"",$C198-$I198&lt;IMPOSTAZIONI!$C$6)," · rientro anticipato, meno di "&amp;IMPOSTAZIONI!$C$6&amp;" giorni","")&amp;IF(AND($C198&lt;&gt;"",$C198&gt;=TODAY(),$I198&lt;&gt;"",$C198-$I198&gt;IMPOSTAZIONI!$C$7)," · rientro oltre "&amp;IMPOSTAZIONI!$C$7&amp;" giorni",""),4,300)))</f>
        <v/>
      </c>
      <c r="G198" s="16" t="n"/>
      <c r="H198" s="11" t="n"/>
      <c r="I198" s="13" t="n"/>
      <c r="J198" s="17">
        <f>IF($I198="","",TODAY()-$I198)</f>
        <v/>
      </c>
      <c r="K198" s="17">
        <f>IF($C198="","",$C198-TODAY())</f>
        <v/>
      </c>
      <c r="L198" s="15">
        <f>IF($A198="","",N($D198)&amp;"/"&amp;IMPOSTAZIONI!$C$5)</f>
        <v/>
      </c>
      <c r="M198" s="15">
        <f>IF($S198="","",IF($S198="RECUPERA CON INCENTIVO",INCENTIVI!$C$7,IF($S198="RICHIAMO MANTENIMENTO",INCENTIVI!$C$6,IF(OR($S198="FUORI FINESTRA",$S198="ULTIMA SEDUTA"),INCENTIVI!$C$5,""))))</f>
        <v/>
      </c>
      <c r="N198" s="18" t="n"/>
      <c r="O198" s="19">
        <f>IF($A198="","",N($D198)*N($N198))</f>
        <v/>
      </c>
      <c r="P198" s="19">
        <f>IF($A198="","",MAX(0,(IMPOSTAZIONI!$C$5-N($D198))*N($N198)))</f>
        <v/>
      </c>
      <c r="Q198" s="13" t="n"/>
      <c r="R198" s="11" t="n"/>
      <c r="S198" s="15">
        <f>IF($A198="","",IF(AND($C198&lt;&gt;"",$C198&lt;TODAY(),OR($I198="",$I198&lt;$C198)),"APPUNTAMENTO SALTATO",IF(AND($C198&lt;&gt;"",$C198-TODAY()=1),"CONFERMA DOMANI",IF(AND($C198&lt;&gt;"",$C198-TODAY()=IMPOSTAZIONI!$C$8),"CHIAMA PER CONFERMA",IF(AND($C198&lt;&gt;"",$C198&gt;=TODAY()),"",IF($E198="Sospesa","",IF($E198="Persa","RECUPERA CON INCENTIVO",IF(AND($I198&lt;&gt;"",TODAY()&gt;=EDATE($I198,IMPOSTAZIONI!$C$10)),"RECUPERA CON INCENTIVO",IF($E198="Mantenimento",IF(AND($I198&lt;&gt;"",TODAY()-$I198&gt;=IMPOSTAZIONI!$C$9),"RICHIAMO MANTENIMENTO",""),IF($E198="In ciclo",IF(N($D198)&gt;=IMPOSTAZIONI!$C$5,"ULTIMA SEDUTA",IF(AND($I198&lt;&gt;"",TODAY()-$I198&gt;IMPOSTAZIONI!$C$7),"FUORI FINESTRA","PRENDI APPUNTAMENTO")),IF($E198="Da contattare","PRENDI APPUNTAMENTO","")))))))))))</f>
        <v/>
      </c>
      <c r="T198" s="17">
        <f>IF($S198="","",IFERROR(MATCH($S198,IMPOSTAZIONI!$F$5:$F$12,0),9)*100000000+(9999-MIN(9999,ROUND(N($O198)/100,0)))*10000+ROW())</f>
        <v/>
      </c>
    </row>
    <row r="199">
      <c r="A199" s="11" t="n"/>
      <c r="B199" s="12">
        <f>IF($S199="","",IFERROR(MATCH($S199,IMPOSTAZIONI!$F$5:$F$12,0),9)&amp;" · "&amp;$S199)</f>
        <v/>
      </c>
      <c r="C199" s="13" t="n"/>
      <c r="D199" s="14" t="n"/>
      <c r="E199" s="11" t="n"/>
      <c r="F199" s="15">
        <f>IF($A199="","",IF(LEN(IF(AND($C199&lt;&gt;"",$C199=TODAY())," · oggi in centro","")&amp;IF(AND($C199&lt;&gt;"",$C199&gt;=TODAY(),N($D199)+1&gt;=IMPOSTAZIONI!$C$5)," · ultima del ciclo, proponi il mantenimento","")&amp;IF(AND($C199&lt;&gt;"",$C199&gt;=TODAY(),$I199&lt;&gt;"",$C199-$I199&lt;IMPOSTAZIONI!$C$6)," · rientro anticipato, meno di "&amp;IMPOSTAZIONI!$C$6&amp;" giorni","")&amp;IF(AND($C199&lt;&gt;"",$C199&gt;=TODAY(),$I199&lt;&gt;"",$C199-$I199&gt;IMPOSTAZIONI!$C$7)," · rientro oltre "&amp;IMPOSTAZIONI!$C$7&amp;" giorni",""))=0,"",MID(IF(AND($C199&lt;&gt;"",$C199=TODAY())," · oggi in centro","")&amp;IF(AND($C199&lt;&gt;"",$C199&gt;=TODAY(),N($D199)+1&gt;=IMPOSTAZIONI!$C$5)," · ultima del ciclo, proponi il mantenimento","")&amp;IF(AND($C199&lt;&gt;"",$C199&gt;=TODAY(),$I199&lt;&gt;"",$C199-$I199&lt;IMPOSTAZIONI!$C$6)," · rientro anticipato, meno di "&amp;IMPOSTAZIONI!$C$6&amp;" giorni","")&amp;IF(AND($C199&lt;&gt;"",$C199&gt;=TODAY(),$I199&lt;&gt;"",$C199-$I199&gt;IMPOSTAZIONI!$C$7)," · rientro oltre "&amp;IMPOSTAZIONI!$C$7&amp;" giorni",""),4,300)))</f>
        <v/>
      </c>
      <c r="G199" s="16" t="n"/>
      <c r="H199" s="11" t="n"/>
      <c r="I199" s="13" t="n"/>
      <c r="J199" s="17">
        <f>IF($I199="","",TODAY()-$I199)</f>
        <v/>
      </c>
      <c r="K199" s="17">
        <f>IF($C199="","",$C199-TODAY())</f>
        <v/>
      </c>
      <c r="L199" s="15">
        <f>IF($A199="","",N($D199)&amp;"/"&amp;IMPOSTAZIONI!$C$5)</f>
        <v/>
      </c>
      <c r="M199" s="15">
        <f>IF($S199="","",IF($S199="RECUPERA CON INCENTIVO",INCENTIVI!$C$7,IF($S199="RICHIAMO MANTENIMENTO",INCENTIVI!$C$6,IF(OR($S199="FUORI FINESTRA",$S199="ULTIMA SEDUTA"),INCENTIVI!$C$5,""))))</f>
        <v/>
      </c>
      <c r="N199" s="18" t="n"/>
      <c r="O199" s="19">
        <f>IF($A199="","",N($D199)*N($N199))</f>
        <v/>
      </c>
      <c r="P199" s="19">
        <f>IF($A199="","",MAX(0,(IMPOSTAZIONI!$C$5-N($D199))*N($N199)))</f>
        <v/>
      </c>
      <c r="Q199" s="13" t="n"/>
      <c r="R199" s="11" t="n"/>
      <c r="S199" s="15">
        <f>IF($A199="","",IF(AND($C199&lt;&gt;"",$C199&lt;TODAY(),OR($I199="",$I199&lt;$C199)),"APPUNTAMENTO SALTATO",IF(AND($C199&lt;&gt;"",$C199-TODAY()=1),"CONFERMA DOMANI",IF(AND($C199&lt;&gt;"",$C199-TODAY()=IMPOSTAZIONI!$C$8),"CHIAMA PER CONFERMA",IF(AND($C199&lt;&gt;"",$C199&gt;=TODAY()),"",IF($E199="Sospesa","",IF($E199="Persa","RECUPERA CON INCENTIVO",IF(AND($I199&lt;&gt;"",TODAY()&gt;=EDATE($I199,IMPOSTAZIONI!$C$10)),"RECUPERA CON INCENTIVO",IF($E199="Mantenimento",IF(AND($I199&lt;&gt;"",TODAY()-$I199&gt;=IMPOSTAZIONI!$C$9),"RICHIAMO MANTENIMENTO",""),IF($E199="In ciclo",IF(N($D199)&gt;=IMPOSTAZIONI!$C$5,"ULTIMA SEDUTA",IF(AND($I199&lt;&gt;"",TODAY()-$I199&gt;IMPOSTAZIONI!$C$7),"FUORI FINESTRA","PRENDI APPUNTAMENTO")),IF($E199="Da contattare","PRENDI APPUNTAMENTO","")))))))))))</f>
        <v/>
      </c>
      <c r="T199" s="17">
        <f>IF($S199="","",IFERROR(MATCH($S199,IMPOSTAZIONI!$F$5:$F$12,0),9)*100000000+(9999-MIN(9999,ROUND(N($O199)/100,0)))*10000+ROW())</f>
        <v/>
      </c>
    </row>
    <row r="200">
      <c r="A200" s="11" t="n"/>
      <c r="B200" s="12">
        <f>IF($S200="","",IFERROR(MATCH($S200,IMPOSTAZIONI!$F$5:$F$12,0),9)&amp;" · "&amp;$S200)</f>
        <v/>
      </c>
      <c r="C200" s="13" t="n"/>
      <c r="D200" s="14" t="n"/>
      <c r="E200" s="11" t="n"/>
      <c r="F200" s="15">
        <f>IF($A200="","",IF(LEN(IF(AND($C200&lt;&gt;"",$C200=TODAY())," · oggi in centro","")&amp;IF(AND($C200&lt;&gt;"",$C200&gt;=TODAY(),N($D200)+1&gt;=IMPOSTAZIONI!$C$5)," · ultima del ciclo, proponi il mantenimento","")&amp;IF(AND($C200&lt;&gt;"",$C200&gt;=TODAY(),$I200&lt;&gt;"",$C200-$I200&lt;IMPOSTAZIONI!$C$6)," · rientro anticipato, meno di "&amp;IMPOSTAZIONI!$C$6&amp;" giorni","")&amp;IF(AND($C200&lt;&gt;"",$C200&gt;=TODAY(),$I200&lt;&gt;"",$C200-$I200&gt;IMPOSTAZIONI!$C$7)," · rientro oltre "&amp;IMPOSTAZIONI!$C$7&amp;" giorni",""))=0,"",MID(IF(AND($C200&lt;&gt;"",$C200=TODAY())," · oggi in centro","")&amp;IF(AND($C200&lt;&gt;"",$C200&gt;=TODAY(),N($D200)+1&gt;=IMPOSTAZIONI!$C$5)," · ultima del ciclo, proponi il mantenimento","")&amp;IF(AND($C200&lt;&gt;"",$C200&gt;=TODAY(),$I200&lt;&gt;"",$C200-$I200&lt;IMPOSTAZIONI!$C$6)," · rientro anticipato, meno di "&amp;IMPOSTAZIONI!$C$6&amp;" giorni","")&amp;IF(AND($C200&lt;&gt;"",$C200&gt;=TODAY(),$I200&lt;&gt;"",$C200-$I200&gt;IMPOSTAZIONI!$C$7)," · rientro oltre "&amp;IMPOSTAZIONI!$C$7&amp;" giorni",""),4,300)))</f>
        <v/>
      </c>
      <c r="G200" s="16" t="n"/>
      <c r="H200" s="11" t="n"/>
      <c r="I200" s="13" t="n"/>
      <c r="J200" s="17">
        <f>IF($I200="","",TODAY()-$I200)</f>
        <v/>
      </c>
      <c r="K200" s="17">
        <f>IF($C200="","",$C200-TODAY())</f>
        <v/>
      </c>
      <c r="L200" s="15">
        <f>IF($A200="","",N($D200)&amp;"/"&amp;IMPOSTAZIONI!$C$5)</f>
        <v/>
      </c>
      <c r="M200" s="15">
        <f>IF($S200="","",IF($S200="RECUPERA CON INCENTIVO",INCENTIVI!$C$7,IF($S200="RICHIAMO MANTENIMENTO",INCENTIVI!$C$6,IF(OR($S200="FUORI FINESTRA",$S200="ULTIMA SEDUTA"),INCENTIVI!$C$5,""))))</f>
        <v/>
      </c>
      <c r="N200" s="18" t="n"/>
      <c r="O200" s="19">
        <f>IF($A200="","",N($D200)*N($N200))</f>
        <v/>
      </c>
      <c r="P200" s="19">
        <f>IF($A200="","",MAX(0,(IMPOSTAZIONI!$C$5-N($D200))*N($N200)))</f>
        <v/>
      </c>
      <c r="Q200" s="13" t="n"/>
      <c r="R200" s="11" t="n"/>
      <c r="S200" s="15">
        <f>IF($A200="","",IF(AND($C200&lt;&gt;"",$C200&lt;TODAY(),OR($I200="",$I200&lt;$C200)),"APPUNTAMENTO SALTATO",IF(AND($C200&lt;&gt;"",$C200-TODAY()=1),"CONFERMA DOMANI",IF(AND($C200&lt;&gt;"",$C200-TODAY()=IMPOSTAZIONI!$C$8),"CHIAMA PER CONFERMA",IF(AND($C200&lt;&gt;"",$C200&gt;=TODAY()),"",IF($E200="Sospesa","",IF($E200="Persa","RECUPERA CON INCENTIVO",IF(AND($I200&lt;&gt;"",TODAY()&gt;=EDATE($I200,IMPOSTAZIONI!$C$10)),"RECUPERA CON INCENTIVO",IF($E200="Mantenimento",IF(AND($I200&lt;&gt;"",TODAY()-$I200&gt;=IMPOSTAZIONI!$C$9),"RICHIAMO MANTENIMENTO",""),IF($E200="In ciclo",IF(N($D200)&gt;=IMPOSTAZIONI!$C$5,"ULTIMA SEDUTA",IF(AND($I200&lt;&gt;"",TODAY()-$I200&gt;IMPOSTAZIONI!$C$7),"FUORI FINESTRA","PRENDI APPUNTAMENTO")),IF($E200="Da contattare","PRENDI APPUNTAMENTO","")))))))))))</f>
        <v/>
      </c>
      <c r="T200" s="17">
        <f>IF($S200="","",IFERROR(MATCH($S200,IMPOSTAZIONI!$F$5:$F$12,0),9)*100000000+(9999-MIN(9999,ROUND(N($O200)/100,0)))*10000+ROW())</f>
        <v/>
      </c>
    </row>
    <row r="201">
      <c r="A201" s="11" t="n"/>
      <c r="B201" s="12">
        <f>IF($S201="","",IFERROR(MATCH($S201,IMPOSTAZIONI!$F$5:$F$12,0),9)&amp;" · "&amp;$S201)</f>
        <v/>
      </c>
      <c r="C201" s="13" t="n"/>
      <c r="D201" s="14" t="n"/>
      <c r="E201" s="11" t="n"/>
      <c r="F201" s="15">
        <f>IF($A201="","",IF(LEN(IF(AND($C201&lt;&gt;"",$C201=TODAY())," · oggi in centro","")&amp;IF(AND($C201&lt;&gt;"",$C201&gt;=TODAY(),N($D201)+1&gt;=IMPOSTAZIONI!$C$5)," · ultima del ciclo, proponi il mantenimento","")&amp;IF(AND($C201&lt;&gt;"",$C201&gt;=TODAY(),$I201&lt;&gt;"",$C201-$I201&lt;IMPOSTAZIONI!$C$6)," · rientro anticipato, meno di "&amp;IMPOSTAZIONI!$C$6&amp;" giorni","")&amp;IF(AND($C201&lt;&gt;"",$C201&gt;=TODAY(),$I201&lt;&gt;"",$C201-$I201&gt;IMPOSTAZIONI!$C$7)," · rientro oltre "&amp;IMPOSTAZIONI!$C$7&amp;" giorni",""))=0,"",MID(IF(AND($C201&lt;&gt;"",$C201=TODAY())," · oggi in centro","")&amp;IF(AND($C201&lt;&gt;"",$C201&gt;=TODAY(),N($D201)+1&gt;=IMPOSTAZIONI!$C$5)," · ultima del ciclo, proponi il mantenimento","")&amp;IF(AND($C201&lt;&gt;"",$C201&gt;=TODAY(),$I201&lt;&gt;"",$C201-$I201&lt;IMPOSTAZIONI!$C$6)," · rientro anticipato, meno di "&amp;IMPOSTAZIONI!$C$6&amp;" giorni","")&amp;IF(AND($C201&lt;&gt;"",$C201&gt;=TODAY(),$I201&lt;&gt;"",$C201-$I201&gt;IMPOSTAZIONI!$C$7)," · rientro oltre "&amp;IMPOSTAZIONI!$C$7&amp;" giorni",""),4,300)))</f>
        <v/>
      </c>
      <c r="G201" s="16" t="n"/>
      <c r="H201" s="11" t="n"/>
      <c r="I201" s="13" t="n"/>
      <c r="J201" s="17">
        <f>IF($I201="","",TODAY()-$I201)</f>
        <v/>
      </c>
      <c r="K201" s="17">
        <f>IF($C201="","",$C201-TODAY())</f>
        <v/>
      </c>
      <c r="L201" s="15">
        <f>IF($A201="","",N($D201)&amp;"/"&amp;IMPOSTAZIONI!$C$5)</f>
        <v/>
      </c>
      <c r="M201" s="15">
        <f>IF($S201="","",IF($S201="RECUPERA CON INCENTIVO",INCENTIVI!$C$7,IF($S201="RICHIAMO MANTENIMENTO",INCENTIVI!$C$6,IF(OR($S201="FUORI FINESTRA",$S201="ULTIMA SEDUTA"),INCENTIVI!$C$5,""))))</f>
        <v/>
      </c>
      <c r="N201" s="18" t="n"/>
      <c r="O201" s="19">
        <f>IF($A201="","",N($D201)*N($N201))</f>
        <v/>
      </c>
      <c r="P201" s="19">
        <f>IF($A201="","",MAX(0,(IMPOSTAZIONI!$C$5-N($D201))*N($N201)))</f>
        <v/>
      </c>
      <c r="Q201" s="13" t="n"/>
      <c r="R201" s="11" t="n"/>
      <c r="S201" s="15">
        <f>IF($A201="","",IF(AND($C201&lt;&gt;"",$C201&lt;TODAY(),OR($I201="",$I201&lt;$C201)),"APPUNTAMENTO SALTATO",IF(AND($C201&lt;&gt;"",$C201-TODAY()=1),"CONFERMA DOMANI",IF(AND($C201&lt;&gt;"",$C201-TODAY()=IMPOSTAZIONI!$C$8),"CHIAMA PER CONFERMA",IF(AND($C201&lt;&gt;"",$C201&gt;=TODAY()),"",IF($E201="Sospesa","",IF($E201="Persa","RECUPERA CON INCENTIVO",IF(AND($I201&lt;&gt;"",TODAY()&gt;=EDATE($I201,IMPOSTAZIONI!$C$10)),"RECUPERA CON INCENTIVO",IF($E201="Mantenimento",IF(AND($I201&lt;&gt;"",TODAY()-$I201&gt;=IMPOSTAZIONI!$C$9),"RICHIAMO MANTENIMENTO",""),IF($E201="In ciclo",IF(N($D201)&gt;=IMPOSTAZIONI!$C$5,"ULTIMA SEDUTA",IF(AND($I201&lt;&gt;"",TODAY()-$I201&gt;IMPOSTAZIONI!$C$7),"FUORI FINESTRA","PRENDI APPUNTAMENTO")),IF($E201="Da contattare","PRENDI APPUNTAMENTO","")))))))))))</f>
        <v/>
      </c>
      <c r="T201" s="17">
        <f>IF($S201="","",IFERROR(MATCH($S201,IMPOSTAZIONI!$F$5:$F$12,0),9)*100000000+(9999-MIN(9999,ROUND(N($O201)/100,0)))*10000+ROW())</f>
        <v/>
      </c>
    </row>
    <row r="202">
      <c r="A202" s="11" t="n"/>
      <c r="B202" s="12">
        <f>IF($S202="","",IFERROR(MATCH($S202,IMPOSTAZIONI!$F$5:$F$12,0),9)&amp;" · "&amp;$S202)</f>
        <v/>
      </c>
      <c r="C202" s="13" t="n"/>
      <c r="D202" s="14" t="n"/>
      <c r="E202" s="11" t="n"/>
      <c r="F202" s="15">
        <f>IF($A202="","",IF(LEN(IF(AND($C202&lt;&gt;"",$C202=TODAY())," · oggi in centro","")&amp;IF(AND($C202&lt;&gt;"",$C202&gt;=TODAY(),N($D202)+1&gt;=IMPOSTAZIONI!$C$5)," · ultima del ciclo, proponi il mantenimento","")&amp;IF(AND($C202&lt;&gt;"",$C202&gt;=TODAY(),$I202&lt;&gt;"",$C202-$I202&lt;IMPOSTAZIONI!$C$6)," · rientro anticipato, meno di "&amp;IMPOSTAZIONI!$C$6&amp;" giorni","")&amp;IF(AND($C202&lt;&gt;"",$C202&gt;=TODAY(),$I202&lt;&gt;"",$C202-$I202&gt;IMPOSTAZIONI!$C$7)," · rientro oltre "&amp;IMPOSTAZIONI!$C$7&amp;" giorni",""))=0,"",MID(IF(AND($C202&lt;&gt;"",$C202=TODAY())," · oggi in centro","")&amp;IF(AND($C202&lt;&gt;"",$C202&gt;=TODAY(),N($D202)+1&gt;=IMPOSTAZIONI!$C$5)," · ultima del ciclo, proponi il mantenimento","")&amp;IF(AND($C202&lt;&gt;"",$C202&gt;=TODAY(),$I202&lt;&gt;"",$C202-$I202&lt;IMPOSTAZIONI!$C$6)," · rientro anticipato, meno di "&amp;IMPOSTAZIONI!$C$6&amp;" giorni","")&amp;IF(AND($C202&lt;&gt;"",$C202&gt;=TODAY(),$I202&lt;&gt;"",$C202-$I202&gt;IMPOSTAZIONI!$C$7)," · rientro oltre "&amp;IMPOSTAZIONI!$C$7&amp;" giorni",""),4,300)))</f>
        <v/>
      </c>
      <c r="G202" s="16" t="n"/>
      <c r="H202" s="11" t="n"/>
      <c r="I202" s="13" t="n"/>
      <c r="J202" s="17">
        <f>IF($I202="","",TODAY()-$I202)</f>
        <v/>
      </c>
      <c r="K202" s="17">
        <f>IF($C202="","",$C202-TODAY())</f>
        <v/>
      </c>
      <c r="L202" s="15">
        <f>IF($A202="","",N($D202)&amp;"/"&amp;IMPOSTAZIONI!$C$5)</f>
        <v/>
      </c>
      <c r="M202" s="15">
        <f>IF($S202="","",IF($S202="RECUPERA CON INCENTIVO",INCENTIVI!$C$7,IF($S202="RICHIAMO MANTENIMENTO",INCENTIVI!$C$6,IF(OR($S202="FUORI FINESTRA",$S202="ULTIMA SEDUTA"),INCENTIVI!$C$5,""))))</f>
        <v/>
      </c>
      <c r="N202" s="18" t="n"/>
      <c r="O202" s="19">
        <f>IF($A202="","",N($D202)*N($N202))</f>
        <v/>
      </c>
      <c r="P202" s="19">
        <f>IF($A202="","",MAX(0,(IMPOSTAZIONI!$C$5-N($D202))*N($N202)))</f>
        <v/>
      </c>
      <c r="Q202" s="13" t="n"/>
      <c r="R202" s="11" t="n"/>
      <c r="S202" s="15">
        <f>IF($A202="","",IF(AND($C202&lt;&gt;"",$C202&lt;TODAY(),OR($I202="",$I202&lt;$C202)),"APPUNTAMENTO SALTATO",IF(AND($C202&lt;&gt;"",$C202-TODAY()=1),"CONFERMA DOMANI",IF(AND($C202&lt;&gt;"",$C202-TODAY()=IMPOSTAZIONI!$C$8),"CHIAMA PER CONFERMA",IF(AND($C202&lt;&gt;"",$C202&gt;=TODAY()),"",IF($E202="Sospesa","",IF($E202="Persa","RECUPERA CON INCENTIVO",IF(AND($I202&lt;&gt;"",TODAY()&gt;=EDATE($I202,IMPOSTAZIONI!$C$10)),"RECUPERA CON INCENTIVO",IF($E202="Mantenimento",IF(AND($I202&lt;&gt;"",TODAY()-$I202&gt;=IMPOSTAZIONI!$C$9),"RICHIAMO MANTENIMENTO",""),IF($E202="In ciclo",IF(N($D202)&gt;=IMPOSTAZIONI!$C$5,"ULTIMA SEDUTA",IF(AND($I202&lt;&gt;"",TODAY()-$I202&gt;IMPOSTAZIONI!$C$7),"FUORI FINESTRA","PRENDI APPUNTAMENTO")),IF($E202="Da contattare","PRENDI APPUNTAMENTO","")))))))))))</f>
        <v/>
      </c>
      <c r="T202" s="17">
        <f>IF($S202="","",IFERROR(MATCH($S202,IMPOSTAZIONI!$F$5:$F$12,0),9)*100000000+(9999-MIN(9999,ROUND(N($O202)/100,0)))*10000+ROW())</f>
        <v/>
      </c>
    </row>
    <row r="203">
      <c r="A203" s="11" t="n"/>
      <c r="B203" s="12">
        <f>IF($S203="","",IFERROR(MATCH($S203,IMPOSTAZIONI!$F$5:$F$12,0),9)&amp;" · "&amp;$S203)</f>
        <v/>
      </c>
      <c r="C203" s="13" t="n"/>
      <c r="D203" s="14" t="n"/>
      <c r="E203" s="11" t="n"/>
      <c r="F203" s="15">
        <f>IF($A203="","",IF(LEN(IF(AND($C203&lt;&gt;"",$C203=TODAY())," · oggi in centro","")&amp;IF(AND($C203&lt;&gt;"",$C203&gt;=TODAY(),N($D203)+1&gt;=IMPOSTAZIONI!$C$5)," · ultima del ciclo, proponi il mantenimento","")&amp;IF(AND($C203&lt;&gt;"",$C203&gt;=TODAY(),$I203&lt;&gt;"",$C203-$I203&lt;IMPOSTAZIONI!$C$6)," · rientro anticipato, meno di "&amp;IMPOSTAZIONI!$C$6&amp;" giorni","")&amp;IF(AND($C203&lt;&gt;"",$C203&gt;=TODAY(),$I203&lt;&gt;"",$C203-$I203&gt;IMPOSTAZIONI!$C$7)," · rientro oltre "&amp;IMPOSTAZIONI!$C$7&amp;" giorni",""))=0,"",MID(IF(AND($C203&lt;&gt;"",$C203=TODAY())," · oggi in centro","")&amp;IF(AND($C203&lt;&gt;"",$C203&gt;=TODAY(),N($D203)+1&gt;=IMPOSTAZIONI!$C$5)," · ultima del ciclo, proponi il mantenimento","")&amp;IF(AND($C203&lt;&gt;"",$C203&gt;=TODAY(),$I203&lt;&gt;"",$C203-$I203&lt;IMPOSTAZIONI!$C$6)," · rientro anticipato, meno di "&amp;IMPOSTAZIONI!$C$6&amp;" giorni","")&amp;IF(AND($C203&lt;&gt;"",$C203&gt;=TODAY(),$I203&lt;&gt;"",$C203-$I203&gt;IMPOSTAZIONI!$C$7)," · rientro oltre "&amp;IMPOSTAZIONI!$C$7&amp;" giorni",""),4,300)))</f>
        <v/>
      </c>
      <c r="G203" s="16" t="n"/>
      <c r="H203" s="11" t="n"/>
      <c r="I203" s="13" t="n"/>
      <c r="J203" s="17">
        <f>IF($I203="","",TODAY()-$I203)</f>
        <v/>
      </c>
      <c r="K203" s="17">
        <f>IF($C203="","",$C203-TODAY())</f>
        <v/>
      </c>
      <c r="L203" s="15">
        <f>IF($A203="","",N($D203)&amp;"/"&amp;IMPOSTAZIONI!$C$5)</f>
        <v/>
      </c>
      <c r="M203" s="15">
        <f>IF($S203="","",IF($S203="RECUPERA CON INCENTIVO",INCENTIVI!$C$7,IF($S203="RICHIAMO MANTENIMENTO",INCENTIVI!$C$6,IF(OR($S203="FUORI FINESTRA",$S203="ULTIMA SEDUTA"),INCENTIVI!$C$5,""))))</f>
        <v/>
      </c>
      <c r="N203" s="18" t="n"/>
      <c r="O203" s="19">
        <f>IF($A203="","",N($D203)*N($N203))</f>
        <v/>
      </c>
      <c r="P203" s="19">
        <f>IF($A203="","",MAX(0,(IMPOSTAZIONI!$C$5-N($D203))*N($N203)))</f>
        <v/>
      </c>
      <c r="Q203" s="13" t="n"/>
      <c r="R203" s="11" t="n"/>
      <c r="S203" s="15">
        <f>IF($A203="","",IF(AND($C203&lt;&gt;"",$C203&lt;TODAY(),OR($I203="",$I203&lt;$C203)),"APPUNTAMENTO SALTATO",IF(AND($C203&lt;&gt;"",$C203-TODAY()=1),"CONFERMA DOMANI",IF(AND($C203&lt;&gt;"",$C203-TODAY()=IMPOSTAZIONI!$C$8),"CHIAMA PER CONFERMA",IF(AND($C203&lt;&gt;"",$C203&gt;=TODAY()),"",IF($E203="Sospesa","",IF($E203="Persa","RECUPERA CON INCENTIVO",IF(AND($I203&lt;&gt;"",TODAY()&gt;=EDATE($I203,IMPOSTAZIONI!$C$10)),"RECUPERA CON INCENTIVO",IF($E203="Mantenimento",IF(AND($I203&lt;&gt;"",TODAY()-$I203&gt;=IMPOSTAZIONI!$C$9),"RICHIAMO MANTENIMENTO",""),IF($E203="In ciclo",IF(N($D203)&gt;=IMPOSTAZIONI!$C$5,"ULTIMA SEDUTA",IF(AND($I203&lt;&gt;"",TODAY()-$I203&gt;IMPOSTAZIONI!$C$7),"FUORI FINESTRA","PRENDI APPUNTAMENTO")),IF($E203="Da contattare","PRENDI APPUNTAMENTO","")))))))))))</f>
        <v/>
      </c>
      <c r="T203" s="17">
        <f>IF($S203="","",IFERROR(MATCH($S203,IMPOSTAZIONI!$F$5:$F$12,0),9)*100000000+(9999-MIN(9999,ROUND(N($O203)/100,0)))*10000+ROW())</f>
        <v/>
      </c>
    </row>
    <row r="204">
      <c r="A204" s="11" t="n"/>
      <c r="B204" s="12">
        <f>IF($S204="","",IFERROR(MATCH($S204,IMPOSTAZIONI!$F$5:$F$12,0),9)&amp;" · "&amp;$S204)</f>
        <v/>
      </c>
      <c r="C204" s="13" t="n"/>
      <c r="D204" s="14" t="n"/>
      <c r="E204" s="11" t="n"/>
      <c r="F204" s="15">
        <f>IF($A204="","",IF(LEN(IF(AND($C204&lt;&gt;"",$C204=TODAY())," · oggi in centro","")&amp;IF(AND($C204&lt;&gt;"",$C204&gt;=TODAY(),N($D204)+1&gt;=IMPOSTAZIONI!$C$5)," · ultima del ciclo, proponi il mantenimento","")&amp;IF(AND($C204&lt;&gt;"",$C204&gt;=TODAY(),$I204&lt;&gt;"",$C204-$I204&lt;IMPOSTAZIONI!$C$6)," · rientro anticipato, meno di "&amp;IMPOSTAZIONI!$C$6&amp;" giorni","")&amp;IF(AND($C204&lt;&gt;"",$C204&gt;=TODAY(),$I204&lt;&gt;"",$C204-$I204&gt;IMPOSTAZIONI!$C$7)," · rientro oltre "&amp;IMPOSTAZIONI!$C$7&amp;" giorni",""))=0,"",MID(IF(AND($C204&lt;&gt;"",$C204=TODAY())," · oggi in centro","")&amp;IF(AND($C204&lt;&gt;"",$C204&gt;=TODAY(),N($D204)+1&gt;=IMPOSTAZIONI!$C$5)," · ultima del ciclo, proponi il mantenimento","")&amp;IF(AND($C204&lt;&gt;"",$C204&gt;=TODAY(),$I204&lt;&gt;"",$C204-$I204&lt;IMPOSTAZIONI!$C$6)," · rientro anticipato, meno di "&amp;IMPOSTAZIONI!$C$6&amp;" giorni","")&amp;IF(AND($C204&lt;&gt;"",$C204&gt;=TODAY(),$I204&lt;&gt;"",$C204-$I204&gt;IMPOSTAZIONI!$C$7)," · rientro oltre "&amp;IMPOSTAZIONI!$C$7&amp;" giorni",""),4,300)))</f>
        <v/>
      </c>
      <c r="G204" s="16" t="n"/>
      <c r="H204" s="11" t="n"/>
      <c r="I204" s="13" t="n"/>
      <c r="J204" s="17">
        <f>IF($I204="","",TODAY()-$I204)</f>
        <v/>
      </c>
      <c r="K204" s="17">
        <f>IF($C204="","",$C204-TODAY())</f>
        <v/>
      </c>
      <c r="L204" s="15">
        <f>IF($A204="","",N($D204)&amp;"/"&amp;IMPOSTAZIONI!$C$5)</f>
        <v/>
      </c>
      <c r="M204" s="15">
        <f>IF($S204="","",IF($S204="RECUPERA CON INCENTIVO",INCENTIVI!$C$7,IF($S204="RICHIAMO MANTENIMENTO",INCENTIVI!$C$6,IF(OR($S204="FUORI FINESTRA",$S204="ULTIMA SEDUTA"),INCENTIVI!$C$5,""))))</f>
        <v/>
      </c>
      <c r="N204" s="18" t="n"/>
      <c r="O204" s="19">
        <f>IF($A204="","",N($D204)*N($N204))</f>
        <v/>
      </c>
      <c r="P204" s="19">
        <f>IF($A204="","",MAX(0,(IMPOSTAZIONI!$C$5-N($D204))*N($N204)))</f>
        <v/>
      </c>
      <c r="Q204" s="13" t="n"/>
      <c r="R204" s="11" t="n"/>
      <c r="S204" s="15">
        <f>IF($A204="","",IF(AND($C204&lt;&gt;"",$C204&lt;TODAY(),OR($I204="",$I204&lt;$C204)),"APPUNTAMENTO SALTATO",IF(AND($C204&lt;&gt;"",$C204-TODAY()=1),"CONFERMA DOMANI",IF(AND($C204&lt;&gt;"",$C204-TODAY()=IMPOSTAZIONI!$C$8),"CHIAMA PER CONFERMA",IF(AND($C204&lt;&gt;"",$C204&gt;=TODAY()),"",IF($E204="Sospesa","",IF($E204="Persa","RECUPERA CON INCENTIVO",IF(AND($I204&lt;&gt;"",TODAY()&gt;=EDATE($I204,IMPOSTAZIONI!$C$10)),"RECUPERA CON INCENTIVO",IF($E204="Mantenimento",IF(AND($I204&lt;&gt;"",TODAY()-$I204&gt;=IMPOSTAZIONI!$C$9),"RICHIAMO MANTENIMENTO",""),IF($E204="In ciclo",IF(N($D204)&gt;=IMPOSTAZIONI!$C$5,"ULTIMA SEDUTA",IF(AND($I204&lt;&gt;"",TODAY()-$I204&gt;IMPOSTAZIONI!$C$7),"FUORI FINESTRA","PRENDI APPUNTAMENTO")),IF($E204="Da contattare","PRENDI APPUNTAMENTO","")))))))))))</f>
        <v/>
      </c>
      <c r="T204" s="17">
        <f>IF($S204="","",IFERROR(MATCH($S204,IMPOSTAZIONI!$F$5:$F$12,0),9)*100000000+(9999-MIN(9999,ROUND(N($O204)/100,0)))*10000+ROW())</f>
        <v/>
      </c>
    </row>
    <row r="205">
      <c r="A205" s="11" t="n"/>
      <c r="B205" s="12">
        <f>IF($S205="","",IFERROR(MATCH($S205,IMPOSTAZIONI!$F$5:$F$12,0),9)&amp;" · "&amp;$S205)</f>
        <v/>
      </c>
      <c r="C205" s="13" t="n"/>
      <c r="D205" s="14" t="n"/>
      <c r="E205" s="11" t="n"/>
      <c r="F205" s="15">
        <f>IF($A205="","",IF(LEN(IF(AND($C205&lt;&gt;"",$C205=TODAY())," · oggi in centro","")&amp;IF(AND($C205&lt;&gt;"",$C205&gt;=TODAY(),N($D205)+1&gt;=IMPOSTAZIONI!$C$5)," · ultima del ciclo, proponi il mantenimento","")&amp;IF(AND($C205&lt;&gt;"",$C205&gt;=TODAY(),$I205&lt;&gt;"",$C205-$I205&lt;IMPOSTAZIONI!$C$6)," · rientro anticipato, meno di "&amp;IMPOSTAZIONI!$C$6&amp;" giorni","")&amp;IF(AND($C205&lt;&gt;"",$C205&gt;=TODAY(),$I205&lt;&gt;"",$C205-$I205&gt;IMPOSTAZIONI!$C$7)," · rientro oltre "&amp;IMPOSTAZIONI!$C$7&amp;" giorni",""))=0,"",MID(IF(AND($C205&lt;&gt;"",$C205=TODAY())," · oggi in centro","")&amp;IF(AND($C205&lt;&gt;"",$C205&gt;=TODAY(),N($D205)+1&gt;=IMPOSTAZIONI!$C$5)," · ultima del ciclo, proponi il mantenimento","")&amp;IF(AND($C205&lt;&gt;"",$C205&gt;=TODAY(),$I205&lt;&gt;"",$C205-$I205&lt;IMPOSTAZIONI!$C$6)," · rientro anticipato, meno di "&amp;IMPOSTAZIONI!$C$6&amp;" giorni","")&amp;IF(AND($C205&lt;&gt;"",$C205&gt;=TODAY(),$I205&lt;&gt;"",$C205-$I205&gt;IMPOSTAZIONI!$C$7)," · rientro oltre "&amp;IMPOSTAZIONI!$C$7&amp;" giorni",""),4,300)))</f>
        <v/>
      </c>
      <c r="G205" s="16" t="n"/>
      <c r="H205" s="11" t="n"/>
      <c r="I205" s="13" t="n"/>
      <c r="J205" s="17">
        <f>IF($I205="","",TODAY()-$I205)</f>
        <v/>
      </c>
      <c r="K205" s="17">
        <f>IF($C205="","",$C205-TODAY())</f>
        <v/>
      </c>
      <c r="L205" s="15">
        <f>IF($A205="","",N($D205)&amp;"/"&amp;IMPOSTAZIONI!$C$5)</f>
        <v/>
      </c>
      <c r="M205" s="15">
        <f>IF($S205="","",IF($S205="RECUPERA CON INCENTIVO",INCENTIVI!$C$7,IF($S205="RICHIAMO MANTENIMENTO",INCENTIVI!$C$6,IF(OR($S205="FUORI FINESTRA",$S205="ULTIMA SEDUTA"),INCENTIVI!$C$5,""))))</f>
        <v/>
      </c>
      <c r="N205" s="18" t="n"/>
      <c r="O205" s="19">
        <f>IF($A205="","",N($D205)*N($N205))</f>
        <v/>
      </c>
      <c r="P205" s="19">
        <f>IF($A205="","",MAX(0,(IMPOSTAZIONI!$C$5-N($D205))*N($N205)))</f>
        <v/>
      </c>
      <c r="Q205" s="13" t="n"/>
      <c r="R205" s="11" t="n"/>
      <c r="S205" s="15">
        <f>IF($A205="","",IF(AND($C205&lt;&gt;"",$C205&lt;TODAY(),OR($I205="",$I205&lt;$C205)),"APPUNTAMENTO SALTATO",IF(AND($C205&lt;&gt;"",$C205-TODAY()=1),"CONFERMA DOMANI",IF(AND($C205&lt;&gt;"",$C205-TODAY()=IMPOSTAZIONI!$C$8),"CHIAMA PER CONFERMA",IF(AND($C205&lt;&gt;"",$C205&gt;=TODAY()),"",IF($E205="Sospesa","",IF($E205="Persa","RECUPERA CON INCENTIVO",IF(AND($I205&lt;&gt;"",TODAY()&gt;=EDATE($I205,IMPOSTAZIONI!$C$10)),"RECUPERA CON INCENTIVO",IF($E205="Mantenimento",IF(AND($I205&lt;&gt;"",TODAY()-$I205&gt;=IMPOSTAZIONI!$C$9),"RICHIAMO MANTENIMENTO",""),IF($E205="In ciclo",IF(N($D205)&gt;=IMPOSTAZIONI!$C$5,"ULTIMA SEDUTA",IF(AND($I205&lt;&gt;"",TODAY()-$I205&gt;IMPOSTAZIONI!$C$7),"FUORI FINESTRA","PRENDI APPUNTAMENTO")),IF($E205="Da contattare","PRENDI APPUNTAMENTO","")))))))))))</f>
        <v/>
      </c>
      <c r="T205" s="17">
        <f>IF($S205="","",IFERROR(MATCH($S205,IMPOSTAZIONI!$F$5:$F$12,0),9)*100000000+(9999-MIN(9999,ROUND(N($O205)/100,0)))*10000+ROW())</f>
        <v/>
      </c>
    </row>
    <row r="206">
      <c r="A206" s="11" t="n"/>
      <c r="B206" s="12">
        <f>IF($S206="","",IFERROR(MATCH($S206,IMPOSTAZIONI!$F$5:$F$12,0),9)&amp;" · "&amp;$S206)</f>
        <v/>
      </c>
      <c r="C206" s="13" t="n"/>
      <c r="D206" s="14" t="n"/>
      <c r="E206" s="11" t="n"/>
      <c r="F206" s="15">
        <f>IF($A206="","",IF(LEN(IF(AND($C206&lt;&gt;"",$C206=TODAY())," · oggi in centro","")&amp;IF(AND($C206&lt;&gt;"",$C206&gt;=TODAY(),N($D206)+1&gt;=IMPOSTAZIONI!$C$5)," · ultima del ciclo, proponi il mantenimento","")&amp;IF(AND($C206&lt;&gt;"",$C206&gt;=TODAY(),$I206&lt;&gt;"",$C206-$I206&lt;IMPOSTAZIONI!$C$6)," · rientro anticipato, meno di "&amp;IMPOSTAZIONI!$C$6&amp;" giorni","")&amp;IF(AND($C206&lt;&gt;"",$C206&gt;=TODAY(),$I206&lt;&gt;"",$C206-$I206&gt;IMPOSTAZIONI!$C$7)," · rientro oltre "&amp;IMPOSTAZIONI!$C$7&amp;" giorni",""))=0,"",MID(IF(AND($C206&lt;&gt;"",$C206=TODAY())," · oggi in centro","")&amp;IF(AND($C206&lt;&gt;"",$C206&gt;=TODAY(),N($D206)+1&gt;=IMPOSTAZIONI!$C$5)," · ultima del ciclo, proponi il mantenimento","")&amp;IF(AND($C206&lt;&gt;"",$C206&gt;=TODAY(),$I206&lt;&gt;"",$C206-$I206&lt;IMPOSTAZIONI!$C$6)," · rientro anticipato, meno di "&amp;IMPOSTAZIONI!$C$6&amp;" giorni","")&amp;IF(AND($C206&lt;&gt;"",$C206&gt;=TODAY(),$I206&lt;&gt;"",$C206-$I206&gt;IMPOSTAZIONI!$C$7)," · rientro oltre "&amp;IMPOSTAZIONI!$C$7&amp;" giorni",""),4,300)))</f>
        <v/>
      </c>
      <c r="G206" s="16" t="n"/>
      <c r="H206" s="11" t="n"/>
      <c r="I206" s="13" t="n"/>
      <c r="J206" s="17">
        <f>IF($I206="","",TODAY()-$I206)</f>
        <v/>
      </c>
      <c r="K206" s="17">
        <f>IF($C206="","",$C206-TODAY())</f>
        <v/>
      </c>
      <c r="L206" s="15">
        <f>IF($A206="","",N($D206)&amp;"/"&amp;IMPOSTAZIONI!$C$5)</f>
        <v/>
      </c>
      <c r="M206" s="15">
        <f>IF($S206="","",IF($S206="RECUPERA CON INCENTIVO",INCENTIVI!$C$7,IF($S206="RICHIAMO MANTENIMENTO",INCENTIVI!$C$6,IF(OR($S206="FUORI FINESTRA",$S206="ULTIMA SEDUTA"),INCENTIVI!$C$5,""))))</f>
        <v/>
      </c>
      <c r="N206" s="18" t="n"/>
      <c r="O206" s="19">
        <f>IF($A206="","",N($D206)*N($N206))</f>
        <v/>
      </c>
      <c r="P206" s="19">
        <f>IF($A206="","",MAX(0,(IMPOSTAZIONI!$C$5-N($D206))*N($N206)))</f>
        <v/>
      </c>
      <c r="Q206" s="13" t="n"/>
      <c r="R206" s="11" t="n"/>
      <c r="S206" s="15">
        <f>IF($A206="","",IF(AND($C206&lt;&gt;"",$C206&lt;TODAY(),OR($I206="",$I206&lt;$C206)),"APPUNTAMENTO SALTATO",IF(AND($C206&lt;&gt;"",$C206-TODAY()=1),"CONFERMA DOMANI",IF(AND($C206&lt;&gt;"",$C206-TODAY()=IMPOSTAZIONI!$C$8),"CHIAMA PER CONFERMA",IF(AND($C206&lt;&gt;"",$C206&gt;=TODAY()),"",IF($E206="Sospesa","",IF($E206="Persa","RECUPERA CON INCENTIVO",IF(AND($I206&lt;&gt;"",TODAY()&gt;=EDATE($I206,IMPOSTAZIONI!$C$10)),"RECUPERA CON INCENTIVO",IF($E206="Mantenimento",IF(AND($I206&lt;&gt;"",TODAY()-$I206&gt;=IMPOSTAZIONI!$C$9),"RICHIAMO MANTENIMENTO",""),IF($E206="In ciclo",IF(N($D206)&gt;=IMPOSTAZIONI!$C$5,"ULTIMA SEDUTA",IF(AND($I206&lt;&gt;"",TODAY()-$I206&gt;IMPOSTAZIONI!$C$7),"FUORI FINESTRA","PRENDI APPUNTAMENTO")),IF($E206="Da contattare","PRENDI APPUNTAMENTO","")))))))))))</f>
        <v/>
      </c>
      <c r="T206" s="17">
        <f>IF($S206="","",IFERROR(MATCH($S206,IMPOSTAZIONI!$F$5:$F$12,0),9)*100000000+(9999-MIN(9999,ROUND(N($O206)/100,0)))*10000+ROW())</f>
        <v/>
      </c>
    </row>
    <row r="207">
      <c r="A207" s="11" t="n"/>
      <c r="B207" s="12">
        <f>IF($S207="","",IFERROR(MATCH($S207,IMPOSTAZIONI!$F$5:$F$12,0),9)&amp;" · "&amp;$S207)</f>
        <v/>
      </c>
      <c r="C207" s="13" t="n"/>
      <c r="D207" s="14" t="n"/>
      <c r="E207" s="11" t="n"/>
      <c r="F207" s="15">
        <f>IF($A207="","",IF(LEN(IF(AND($C207&lt;&gt;"",$C207=TODAY())," · oggi in centro","")&amp;IF(AND($C207&lt;&gt;"",$C207&gt;=TODAY(),N($D207)+1&gt;=IMPOSTAZIONI!$C$5)," · ultima del ciclo, proponi il mantenimento","")&amp;IF(AND($C207&lt;&gt;"",$C207&gt;=TODAY(),$I207&lt;&gt;"",$C207-$I207&lt;IMPOSTAZIONI!$C$6)," · rientro anticipato, meno di "&amp;IMPOSTAZIONI!$C$6&amp;" giorni","")&amp;IF(AND($C207&lt;&gt;"",$C207&gt;=TODAY(),$I207&lt;&gt;"",$C207-$I207&gt;IMPOSTAZIONI!$C$7)," · rientro oltre "&amp;IMPOSTAZIONI!$C$7&amp;" giorni",""))=0,"",MID(IF(AND($C207&lt;&gt;"",$C207=TODAY())," · oggi in centro","")&amp;IF(AND($C207&lt;&gt;"",$C207&gt;=TODAY(),N($D207)+1&gt;=IMPOSTAZIONI!$C$5)," · ultima del ciclo, proponi il mantenimento","")&amp;IF(AND($C207&lt;&gt;"",$C207&gt;=TODAY(),$I207&lt;&gt;"",$C207-$I207&lt;IMPOSTAZIONI!$C$6)," · rientro anticipato, meno di "&amp;IMPOSTAZIONI!$C$6&amp;" giorni","")&amp;IF(AND($C207&lt;&gt;"",$C207&gt;=TODAY(),$I207&lt;&gt;"",$C207-$I207&gt;IMPOSTAZIONI!$C$7)," · rientro oltre "&amp;IMPOSTAZIONI!$C$7&amp;" giorni",""),4,300)))</f>
        <v/>
      </c>
      <c r="G207" s="16" t="n"/>
      <c r="H207" s="11" t="n"/>
      <c r="I207" s="13" t="n"/>
      <c r="J207" s="17">
        <f>IF($I207="","",TODAY()-$I207)</f>
        <v/>
      </c>
      <c r="K207" s="17">
        <f>IF($C207="","",$C207-TODAY())</f>
        <v/>
      </c>
      <c r="L207" s="15">
        <f>IF($A207="","",N($D207)&amp;"/"&amp;IMPOSTAZIONI!$C$5)</f>
        <v/>
      </c>
      <c r="M207" s="15">
        <f>IF($S207="","",IF($S207="RECUPERA CON INCENTIVO",INCENTIVI!$C$7,IF($S207="RICHIAMO MANTENIMENTO",INCENTIVI!$C$6,IF(OR($S207="FUORI FINESTRA",$S207="ULTIMA SEDUTA"),INCENTIVI!$C$5,""))))</f>
        <v/>
      </c>
      <c r="N207" s="18" t="n"/>
      <c r="O207" s="19">
        <f>IF($A207="","",N($D207)*N($N207))</f>
        <v/>
      </c>
      <c r="P207" s="19">
        <f>IF($A207="","",MAX(0,(IMPOSTAZIONI!$C$5-N($D207))*N($N207)))</f>
        <v/>
      </c>
      <c r="Q207" s="13" t="n"/>
      <c r="R207" s="11" t="n"/>
      <c r="S207" s="15">
        <f>IF($A207="","",IF(AND($C207&lt;&gt;"",$C207&lt;TODAY(),OR($I207="",$I207&lt;$C207)),"APPUNTAMENTO SALTATO",IF(AND($C207&lt;&gt;"",$C207-TODAY()=1),"CONFERMA DOMANI",IF(AND($C207&lt;&gt;"",$C207-TODAY()=IMPOSTAZIONI!$C$8),"CHIAMA PER CONFERMA",IF(AND($C207&lt;&gt;"",$C207&gt;=TODAY()),"",IF($E207="Sospesa","",IF($E207="Persa","RECUPERA CON INCENTIVO",IF(AND($I207&lt;&gt;"",TODAY()&gt;=EDATE($I207,IMPOSTAZIONI!$C$10)),"RECUPERA CON INCENTIVO",IF($E207="Mantenimento",IF(AND($I207&lt;&gt;"",TODAY()-$I207&gt;=IMPOSTAZIONI!$C$9),"RICHIAMO MANTENIMENTO",""),IF($E207="In ciclo",IF(N($D207)&gt;=IMPOSTAZIONI!$C$5,"ULTIMA SEDUTA",IF(AND($I207&lt;&gt;"",TODAY()-$I207&gt;IMPOSTAZIONI!$C$7),"FUORI FINESTRA","PRENDI APPUNTAMENTO")),IF($E207="Da contattare","PRENDI APPUNTAMENTO","")))))))))))</f>
        <v/>
      </c>
      <c r="T207" s="17">
        <f>IF($S207="","",IFERROR(MATCH($S207,IMPOSTAZIONI!$F$5:$F$12,0),9)*100000000+(9999-MIN(9999,ROUND(N($O207)/100,0)))*10000+ROW())</f>
        <v/>
      </c>
    </row>
    <row r="208">
      <c r="A208" s="11" t="n"/>
      <c r="B208" s="12">
        <f>IF($S208="","",IFERROR(MATCH($S208,IMPOSTAZIONI!$F$5:$F$12,0),9)&amp;" · "&amp;$S208)</f>
        <v/>
      </c>
      <c r="C208" s="13" t="n"/>
      <c r="D208" s="14" t="n"/>
      <c r="E208" s="11" t="n"/>
      <c r="F208" s="15">
        <f>IF($A208="","",IF(LEN(IF(AND($C208&lt;&gt;"",$C208=TODAY())," · oggi in centro","")&amp;IF(AND($C208&lt;&gt;"",$C208&gt;=TODAY(),N($D208)+1&gt;=IMPOSTAZIONI!$C$5)," · ultima del ciclo, proponi il mantenimento","")&amp;IF(AND($C208&lt;&gt;"",$C208&gt;=TODAY(),$I208&lt;&gt;"",$C208-$I208&lt;IMPOSTAZIONI!$C$6)," · rientro anticipato, meno di "&amp;IMPOSTAZIONI!$C$6&amp;" giorni","")&amp;IF(AND($C208&lt;&gt;"",$C208&gt;=TODAY(),$I208&lt;&gt;"",$C208-$I208&gt;IMPOSTAZIONI!$C$7)," · rientro oltre "&amp;IMPOSTAZIONI!$C$7&amp;" giorni",""))=0,"",MID(IF(AND($C208&lt;&gt;"",$C208=TODAY())," · oggi in centro","")&amp;IF(AND($C208&lt;&gt;"",$C208&gt;=TODAY(),N($D208)+1&gt;=IMPOSTAZIONI!$C$5)," · ultima del ciclo, proponi il mantenimento","")&amp;IF(AND($C208&lt;&gt;"",$C208&gt;=TODAY(),$I208&lt;&gt;"",$C208-$I208&lt;IMPOSTAZIONI!$C$6)," · rientro anticipato, meno di "&amp;IMPOSTAZIONI!$C$6&amp;" giorni","")&amp;IF(AND($C208&lt;&gt;"",$C208&gt;=TODAY(),$I208&lt;&gt;"",$C208-$I208&gt;IMPOSTAZIONI!$C$7)," · rientro oltre "&amp;IMPOSTAZIONI!$C$7&amp;" giorni",""),4,300)))</f>
        <v/>
      </c>
      <c r="G208" s="16" t="n"/>
      <c r="H208" s="11" t="n"/>
      <c r="I208" s="13" t="n"/>
      <c r="J208" s="17">
        <f>IF($I208="","",TODAY()-$I208)</f>
        <v/>
      </c>
      <c r="K208" s="17">
        <f>IF($C208="","",$C208-TODAY())</f>
        <v/>
      </c>
      <c r="L208" s="15">
        <f>IF($A208="","",N($D208)&amp;"/"&amp;IMPOSTAZIONI!$C$5)</f>
        <v/>
      </c>
      <c r="M208" s="15">
        <f>IF($S208="","",IF($S208="RECUPERA CON INCENTIVO",INCENTIVI!$C$7,IF($S208="RICHIAMO MANTENIMENTO",INCENTIVI!$C$6,IF(OR($S208="FUORI FINESTRA",$S208="ULTIMA SEDUTA"),INCENTIVI!$C$5,""))))</f>
        <v/>
      </c>
      <c r="N208" s="18" t="n"/>
      <c r="O208" s="19">
        <f>IF($A208="","",N($D208)*N($N208))</f>
        <v/>
      </c>
      <c r="P208" s="19">
        <f>IF($A208="","",MAX(0,(IMPOSTAZIONI!$C$5-N($D208))*N($N208)))</f>
        <v/>
      </c>
      <c r="Q208" s="13" t="n"/>
      <c r="R208" s="11" t="n"/>
      <c r="S208" s="15">
        <f>IF($A208="","",IF(AND($C208&lt;&gt;"",$C208&lt;TODAY(),OR($I208="",$I208&lt;$C208)),"APPUNTAMENTO SALTATO",IF(AND($C208&lt;&gt;"",$C208-TODAY()=1),"CONFERMA DOMANI",IF(AND($C208&lt;&gt;"",$C208-TODAY()=IMPOSTAZIONI!$C$8),"CHIAMA PER CONFERMA",IF(AND($C208&lt;&gt;"",$C208&gt;=TODAY()),"",IF($E208="Sospesa","",IF($E208="Persa","RECUPERA CON INCENTIVO",IF(AND($I208&lt;&gt;"",TODAY()&gt;=EDATE($I208,IMPOSTAZIONI!$C$10)),"RECUPERA CON INCENTIVO",IF($E208="Mantenimento",IF(AND($I208&lt;&gt;"",TODAY()-$I208&gt;=IMPOSTAZIONI!$C$9),"RICHIAMO MANTENIMENTO",""),IF($E208="In ciclo",IF(N($D208)&gt;=IMPOSTAZIONI!$C$5,"ULTIMA SEDUTA",IF(AND($I208&lt;&gt;"",TODAY()-$I208&gt;IMPOSTAZIONI!$C$7),"FUORI FINESTRA","PRENDI APPUNTAMENTO")),IF($E208="Da contattare","PRENDI APPUNTAMENTO","")))))))))))</f>
        <v/>
      </c>
      <c r="T208" s="17">
        <f>IF($S208="","",IFERROR(MATCH($S208,IMPOSTAZIONI!$F$5:$F$12,0),9)*100000000+(9999-MIN(9999,ROUND(N($O208)/100,0)))*10000+ROW())</f>
        <v/>
      </c>
    </row>
    <row r="209">
      <c r="A209" s="11" t="n"/>
      <c r="B209" s="12">
        <f>IF($S209="","",IFERROR(MATCH($S209,IMPOSTAZIONI!$F$5:$F$12,0),9)&amp;" · "&amp;$S209)</f>
        <v/>
      </c>
      <c r="C209" s="13" t="n"/>
      <c r="D209" s="14" t="n"/>
      <c r="E209" s="11" t="n"/>
      <c r="F209" s="15">
        <f>IF($A209="","",IF(LEN(IF(AND($C209&lt;&gt;"",$C209=TODAY())," · oggi in centro","")&amp;IF(AND($C209&lt;&gt;"",$C209&gt;=TODAY(),N($D209)+1&gt;=IMPOSTAZIONI!$C$5)," · ultima del ciclo, proponi il mantenimento","")&amp;IF(AND($C209&lt;&gt;"",$C209&gt;=TODAY(),$I209&lt;&gt;"",$C209-$I209&lt;IMPOSTAZIONI!$C$6)," · rientro anticipato, meno di "&amp;IMPOSTAZIONI!$C$6&amp;" giorni","")&amp;IF(AND($C209&lt;&gt;"",$C209&gt;=TODAY(),$I209&lt;&gt;"",$C209-$I209&gt;IMPOSTAZIONI!$C$7)," · rientro oltre "&amp;IMPOSTAZIONI!$C$7&amp;" giorni",""))=0,"",MID(IF(AND($C209&lt;&gt;"",$C209=TODAY())," · oggi in centro","")&amp;IF(AND($C209&lt;&gt;"",$C209&gt;=TODAY(),N($D209)+1&gt;=IMPOSTAZIONI!$C$5)," · ultima del ciclo, proponi il mantenimento","")&amp;IF(AND($C209&lt;&gt;"",$C209&gt;=TODAY(),$I209&lt;&gt;"",$C209-$I209&lt;IMPOSTAZIONI!$C$6)," · rientro anticipato, meno di "&amp;IMPOSTAZIONI!$C$6&amp;" giorni","")&amp;IF(AND($C209&lt;&gt;"",$C209&gt;=TODAY(),$I209&lt;&gt;"",$C209-$I209&gt;IMPOSTAZIONI!$C$7)," · rientro oltre "&amp;IMPOSTAZIONI!$C$7&amp;" giorni",""),4,300)))</f>
        <v/>
      </c>
      <c r="G209" s="16" t="n"/>
      <c r="H209" s="11" t="n"/>
      <c r="I209" s="13" t="n"/>
      <c r="J209" s="17">
        <f>IF($I209="","",TODAY()-$I209)</f>
        <v/>
      </c>
      <c r="K209" s="17">
        <f>IF($C209="","",$C209-TODAY())</f>
        <v/>
      </c>
      <c r="L209" s="15">
        <f>IF($A209="","",N($D209)&amp;"/"&amp;IMPOSTAZIONI!$C$5)</f>
        <v/>
      </c>
      <c r="M209" s="15">
        <f>IF($S209="","",IF($S209="RECUPERA CON INCENTIVO",INCENTIVI!$C$7,IF($S209="RICHIAMO MANTENIMENTO",INCENTIVI!$C$6,IF(OR($S209="FUORI FINESTRA",$S209="ULTIMA SEDUTA"),INCENTIVI!$C$5,""))))</f>
        <v/>
      </c>
      <c r="N209" s="18" t="n"/>
      <c r="O209" s="19">
        <f>IF($A209="","",N($D209)*N($N209))</f>
        <v/>
      </c>
      <c r="P209" s="19">
        <f>IF($A209="","",MAX(0,(IMPOSTAZIONI!$C$5-N($D209))*N($N209)))</f>
        <v/>
      </c>
      <c r="Q209" s="13" t="n"/>
      <c r="R209" s="11" t="n"/>
      <c r="S209" s="15">
        <f>IF($A209="","",IF(AND($C209&lt;&gt;"",$C209&lt;TODAY(),OR($I209="",$I209&lt;$C209)),"APPUNTAMENTO SALTATO",IF(AND($C209&lt;&gt;"",$C209-TODAY()=1),"CONFERMA DOMANI",IF(AND($C209&lt;&gt;"",$C209-TODAY()=IMPOSTAZIONI!$C$8),"CHIAMA PER CONFERMA",IF(AND($C209&lt;&gt;"",$C209&gt;=TODAY()),"",IF($E209="Sospesa","",IF($E209="Persa","RECUPERA CON INCENTIVO",IF(AND($I209&lt;&gt;"",TODAY()&gt;=EDATE($I209,IMPOSTAZIONI!$C$10)),"RECUPERA CON INCENTIVO",IF($E209="Mantenimento",IF(AND($I209&lt;&gt;"",TODAY()-$I209&gt;=IMPOSTAZIONI!$C$9),"RICHIAMO MANTENIMENTO",""),IF($E209="In ciclo",IF(N($D209)&gt;=IMPOSTAZIONI!$C$5,"ULTIMA SEDUTA",IF(AND($I209&lt;&gt;"",TODAY()-$I209&gt;IMPOSTAZIONI!$C$7),"FUORI FINESTRA","PRENDI APPUNTAMENTO")),IF($E209="Da contattare","PRENDI APPUNTAMENTO","")))))))))))</f>
        <v/>
      </c>
      <c r="T209" s="17">
        <f>IF($S209="","",IFERROR(MATCH($S209,IMPOSTAZIONI!$F$5:$F$12,0),9)*100000000+(9999-MIN(9999,ROUND(N($O209)/100,0)))*10000+ROW())</f>
        <v/>
      </c>
    </row>
    <row r="210">
      <c r="A210" s="11" t="n"/>
      <c r="B210" s="12">
        <f>IF($S210="","",IFERROR(MATCH($S210,IMPOSTAZIONI!$F$5:$F$12,0),9)&amp;" · "&amp;$S210)</f>
        <v/>
      </c>
      <c r="C210" s="13" t="n"/>
      <c r="D210" s="14" t="n"/>
      <c r="E210" s="11" t="n"/>
      <c r="F210" s="15">
        <f>IF($A210="","",IF(LEN(IF(AND($C210&lt;&gt;"",$C210=TODAY())," · oggi in centro","")&amp;IF(AND($C210&lt;&gt;"",$C210&gt;=TODAY(),N($D210)+1&gt;=IMPOSTAZIONI!$C$5)," · ultima del ciclo, proponi il mantenimento","")&amp;IF(AND($C210&lt;&gt;"",$C210&gt;=TODAY(),$I210&lt;&gt;"",$C210-$I210&lt;IMPOSTAZIONI!$C$6)," · rientro anticipato, meno di "&amp;IMPOSTAZIONI!$C$6&amp;" giorni","")&amp;IF(AND($C210&lt;&gt;"",$C210&gt;=TODAY(),$I210&lt;&gt;"",$C210-$I210&gt;IMPOSTAZIONI!$C$7)," · rientro oltre "&amp;IMPOSTAZIONI!$C$7&amp;" giorni",""))=0,"",MID(IF(AND($C210&lt;&gt;"",$C210=TODAY())," · oggi in centro","")&amp;IF(AND($C210&lt;&gt;"",$C210&gt;=TODAY(),N($D210)+1&gt;=IMPOSTAZIONI!$C$5)," · ultima del ciclo, proponi il mantenimento","")&amp;IF(AND($C210&lt;&gt;"",$C210&gt;=TODAY(),$I210&lt;&gt;"",$C210-$I210&lt;IMPOSTAZIONI!$C$6)," · rientro anticipato, meno di "&amp;IMPOSTAZIONI!$C$6&amp;" giorni","")&amp;IF(AND($C210&lt;&gt;"",$C210&gt;=TODAY(),$I210&lt;&gt;"",$C210-$I210&gt;IMPOSTAZIONI!$C$7)," · rientro oltre "&amp;IMPOSTAZIONI!$C$7&amp;" giorni",""),4,300)))</f>
        <v/>
      </c>
      <c r="G210" s="16" t="n"/>
      <c r="H210" s="11" t="n"/>
      <c r="I210" s="13" t="n"/>
      <c r="J210" s="17">
        <f>IF($I210="","",TODAY()-$I210)</f>
        <v/>
      </c>
      <c r="K210" s="17">
        <f>IF($C210="","",$C210-TODAY())</f>
        <v/>
      </c>
      <c r="L210" s="15">
        <f>IF($A210="","",N($D210)&amp;"/"&amp;IMPOSTAZIONI!$C$5)</f>
        <v/>
      </c>
      <c r="M210" s="15">
        <f>IF($S210="","",IF($S210="RECUPERA CON INCENTIVO",INCENTIVI!$C$7,IF($S210="RICHIAMO MANTENIMENTO",INCENTIVI!$C$6,IF(OR($S210="FUORI FINESTRA",$S210="ULTIMA SEDUTA"),INCENTIVI!$C$5,""))))</f>
        <v/>
      </c>
      <c r="N210" s="18" t="n"/>
      <c r="O210" s="19">
        <f>IF($A210="","",N($D210)*N($N210))</f>
        <v/>
      </c>
      <c r="P210" s="19">
        <f>IF($A210="","",MAX(0,(IMPOSTAZIONI!$C$5-N($D210))*N($N210)))</f>
        <v/>
      </c>
      <c r="Q210" s="13" t="n"/>
      <c r="R210" s="11" t="n"/>
      <c r="S210" s="15">
        <f>IF($A210="","",IF(AND($C210&lt;&gt;"",$C210&lt;TODAY(),OR($I210="",$I210&lt;$C210)),"APPUNTAMENTO SALTATO",IF(AND($C210&lt;&gt;"",$C210-TODAY()=1),"CONFERMA DOMANI",IF(AND($C210&lt;&gt;"",$C210-TODAY()=IMPOSTAZIONI!$C$8),"CHIAMA PER CONFERMA",IF(AND($C210&lt;&gt;"",$C210&gt;=TODAY()),"",IF($E210="Sospesa","",IF($E210="Persa","RECUPERA CON INCENTIVO",IF(AND($I210&lt;&gt;"",TODAY()&gt;=EDATE($I210,IMPOSTAZIONI!$C$10)),"RECUPERA CON INCENTIVO",IF($E210="Mantenimento",IF(AND($I210&lt;&gt;"",TODAY()-$I210&gt;=IMPOSTAZIONI!$C$9),"RICHIAMO MANTENIMENTO",""),IF($E210="In ciclo",IF(N($D210)&gt;=IMPOSTAZIONI!$C$5,"ULTIMA SEDUTA",IF(AND($I210&lt;&gt;"",TODAY()-$I210&gt;IMPOSTAZIONI!$C$7),"FUORI FINESTRA","PRENDI APPUNTAMENTO")),IF($E210="Da contattare","PRENDI APPUNTAMENTO","")))))))))))</f>
        <v/>
      </c>
      <c r="T210" s="17">
        <f>IF($S210="","",IFERROR(MATCH($S210,IMPOSTAZIONI!$F$5:$F$12,0),9)*100000000+(9999-MIN(9999,ROUND(N($O210)/100,0)))*10000+ROW())</f>
        <v/>
      </c>
    </row>
    <row r="211">
      <c r="A211" s="11" t="n"/>
      <c r="B211" s="12">
        <f>IF($S211="","",IFERROR(MATCH($S211,IMPOSTAZIONI!$F$5:$F$12,0),9)&amp;" · "&amp;$S211)</f>
        <v/>
      </c>
      <c r="C211" s="13" t="n"/>
      <c r="D211" s="14" t="n"/>
      <c r="E211" s="11" t="n"/>
      <c r="F211" s="15">
        <f>IF($A211="","",IF(LEN(IF(AND($C211&lt;&gt;"",$C211=TODAY())," · oggi in centro","")&amp;IF(AND($C211&lt;&gt;"",$C211&gt;=TODAY(),N($D211)+1&gt;=IMPOSTAZIONI!$C$5)," · ultima del ciclo, proponi il mantenimento","")&amp;IF(AND($C211&lt;&gt;"",$C211&gt;=TODAY(),$I211&lt;&gt;"",$C211-$I211&lt;IMPOSTAZIONI!$C$6)," · rientro anticipato, meno di "&amp;IMPOSTAZIONI!$C$6&amp;" giorni","")&amp;IF(AND($C211&lt;&gt;"",$C211&gt;=TODAY(),$I211&lt;&gt;"",$C211-$I211&gt;IMPOSTAZIONI!$C$7)," · rientro oltre "&amp;IMPOSTAZIONI!$C$7&amp;" giorni",""))=0,"",MID(IF(AND($C211&lt;&gt;"",$C211=TODAY())," · oggi in centro","")&amp;IF(AND($C211&lt;&gt;"",$C211&gt;=TODAY(),N($D211)+1&gt;=IMPOSTAZIONI!$C$5)," · ultima del ciclo, proponi il mantenimento","")&amp;IF(AND($C211&lt;&gt;"",$C211&gt;=TODAY(),$I211&lt;&gt;"",$C211-$I211&lt;IMPOSTAZIONI!$C$6)," · rientro anticipato, meno di "&amp;IMPOSTAZIONI!$C$6&amp;" giorni","")&amp;IF(AND($C211&lt;&gt;"",$C211&gt;=TODAY(),$I211&lt;&gt;"",$C211-$I211&gt;IMPOSTAZIONI!$C$7)," · rientro oltre "&amp;IMPOSTAZIONI!$C$7&amp;" giorni",""),4,300)))</f>
        <v/>
      </c>
      <c r="G211" s="16" t="n"/>
      <c r="H211" s="11" t="n"/>
      <c r="I211" s="13" t="n"/>
      <c r="J211" s="17">
        <f>IF($I211="","",TODAY()-$I211)</f>
        <v/>
      </c>
      <c r="K211" s="17">
        <f>IF($C211="","",$C211-TODAY())</f>
        <v/>
      </c>
      <c r="L211" s="15">
        <f>IF($A211="","",N($D211)&amp;"/"&amp;IMPOSTAZIONI!$C$5)</f>
        <v/>
      </c>
      <c r="M211" s="15">
        <f>IF($S211="","",IF($S211="RECUPERA CON INCENTIVO",INCENTIVI!$C$7,IF($S211="RICHIAMO MANTENIMENTO",INCENTIVI!$C$6,IF(OR($S211="FUORI FINESTRA",$S211="ULTIMA SEDUTA"),INCENTIVI!$C$5,""))))</f>
        <v/>
      </c>
      <c r="N211" s="18" t="n"/>
      <c r="O211" s="19">
        <f>IF($A211="","",N($D211)*N($N211))</f>
        <v/>
      </c>
      <c r="P211" s="19">
        <f>IF($A211="","",MAX(0,(IMPOSTAZIONI!$C$5-N($D211))*N($N211)))</f>
        <v/>
      </c>
      <c r="Q211" s="13" t="n"/>
      <c r="R211" s="11" t="n"/>
      <c r="S211" s="15">
        <f>IF($A211="","",IF(AND($C211&lt;&gt;"",$C211&lt;TODAY(),OR($I211="",$I211&lt;$C211)),"APPUNTAMENTO SALTATO",IF(AND($C211&lt;&gt;"",$C211-TODAY()=1),"CONFERMA DOMANI",IF(AND($C211&lt;&gt;"",$C211-TODAY()=IMPOSTAZIONI!$C$8),"CHIAMA PER CONFERMA",IF(AND($C211&lt;&gt;"",$C211&gt;=TODAY()),"",IF($E211="Sospesa","",IF($E211="Persa","RECUPERA CON INCENTIVO",IF(AND($I211&lt;&gt;"",TODAY()&gt;=EDATE($I211,IMPOSTAZIONI!$C$10)),"RECUPERA CON INCENTIVO",IF($E211="Mantenimento",IF(AND($I211&lt;&gt;"",TODAY()-$I211&gt;=IMPOSTAZIONI!$C$9),"RICHIAMO MANTENIMENTO",""),IF($E211="In ciclo",IF(N($D211)&gt;=IMPOSTAZIONI!$C$5,"ULTIMA SEDUTA",IF(AND($I211&lt;&gt;"",TODAY()-$I211&gt;IMPOSTAZIONI!$C$7),"FUORI FINESTRA","PRENDI APPUNTAMENTO")),IF($E211="Da contattare","PRENDI APPUNTAMENTO","")))))))))))</f>
        <v/>
      </c>
      <c r="T211" s="17">
        <f>IF($S211="","",IFERROR(MATCH($S211,IMPOSTAZIONI!$F$5:$F$12,0),9)*100000000+(9999-MIN(9999,ROUND(N($O211)/100,0)))*10000+ROW())</f>
        <v/>
      </c>
    </row>
    <row r="212">
      <c r="A212" s="11" t="n"/>
      <c r="B212" s="12">
        <f>IF($S212="","",IFERROR(MATCH($S212,IMPOSTAZIONI!$F$5:$F$12,0),9)&amp;" · "&amp;$S212)</f>
        <v/>
      </c>
      <c r="C212" s="13" t="n"/>
      <c r="D212" s="14" t="n"/>
      <c r="E212" s="11" t="n"/>
      <c r="F212" s="15">
        <f>IF($A212="","",IF(LEN(IF(AND($C212&lt;&gt;"",$C212=TODAY())," · oggi in centro","")&amp;IF(AND($C212&lt;&gt;"",$C212&gt;=TODAY(),N($D212)+1&gt;=IMPOSTAZIONI!$C$5)," · ultima del ciclo, proponi il mantenimento","")&amp;IF(AND($C212&lt;&gt;"",$C212&gt;=TODAY(),$I212&lt;&gt;"",$C212-$I212&lt;IMPOSTAZIONI!$C$6)," · rientro anticipato, meno di "&amp;IMPOSTAZIONI!$C$6&amp;" giorni","")&amp;IF(AND($C212&lt;&gt;"",$C212&gt;=TODAY(),$I212&lt;&gt;"",$C212-$I212&gt;IMPOSTAZIONI!$C$7)," · rientro oltre "&amp;IMPOSTAZIONI!$C$7&amp;" giorni",""))=0,"",MID(IF(AND($C212&lt;&gt;"",$C212=TODAY())," · oggi in centro","")&amp;IF(AND($C212&lt;&gt;"",$C212&gt;=TODAY(),N($D212)+1&gt;=IMPOSTAZIONI!$C$5)," · ultima del ciclo, proponi il mantenimento","")&amp;IF(AND($C212&lt;&gt;"",$C212&gt;=TODAY(),$I212&lt;&gt;"",$C212-$I212&lt;IMPOSTAZIONI!$C$6)," · rientro anticipato, meno di "&amp;IMPOSTAZIONI!$C$6&amp;" giorni","")&amp;IF(AND($C212&lt;&gt;"",$C212&gt;=TODAY(),$I212&lt;&gt;"",$C212-$I212&gt;IMPOSTAZIONI!$C$7)," · rientro oltre "&amp;IMPOSTAZIONI!$C$7&amp;" giorni",""),4,300)))</f>
        <v/>
      </c>
      <c r="G212" s="16" t="n"/>
      <c r="H212" s="11" t="n"/>
      <c r="I212" s="13" t="n"/>
      <c r="J212" s="17">
        <f>IF($I212="","",TODAY()-$I212)</f>
        <v/>
      </c>
      <c r="K212" s="17">
        <f>IF($C212="","",$C212-TODAY())</f>
        <v/>
      </c>
      <c r="L212" s="15">
        <f>IF($A212="","",N($D212)&amp;"/"&amp;IMPOSTAZIONI!$C$5)</f>
        <v/>
      </c>
      <c r="M212" s="15">
        <f>IF($S212="","",IF($S212="RECUPERA CON INCENTIVO",INCENTIVI!$C$7,IF($S212="RICHIAMO MANTENIMENTO",INCENTIVI!$C$6,IF(OR($S212="FUORI FINESTRA",$S212="ULTIMA SEDUTA"),INCENTIVI!$C$5,""))))</f>
        <v/>
      </c>
      <c r="N212" s="18" t="n"/>
      <c r="O212" s="19">
        <f>IF($A212="","",N($D212)*N($N212))</f>
        <v/>
      </c>
      <c r="P212" s="19">
        <f>IF($A212="","",MAX(0,(IMPOSTAZIONI!$C$5-N($D212))*N($N212)))</f>
        <v/>
      </c>
      <c r="Q212" s="13" t="n"/>
      <c r="R212" s="11" t="n"/>
      <c r="S212" s="15">
        <f>IF($A212="","",IF(AND($C212&lt;&gt;"",$C212&lt;TODAY(),OR($I212="",$I212&lt;$C212)),"APPUNTAMENTO SALTATO",IF(AND($C212&lt;&gt;"",$C212-TODAY()=1),"CONFERMA DOMANI",IF(AND($C212&lt;&gt;"",$C212-TODAY()=IMPOSTAZIONI!$C$8),"CHIAMA PER CONFERMA",IF(AND($C212&lt;&gt;"",$C212&gt;=TODAY()),"",IF($E212="Sospesa","",IF($E212="Persa","RECUPERA CON INCENTIVO",IF(AND($I212&lt;&gt;"",TODAY()&gt;=EDATE($I212,IMPOSTAZIONI!$C$10)),"RECUPERA CON INCENTIVO",IF($E212="Mantenimento",IF(AND($I212&lt;&gt;"",TODAY()-$I212&gt;=IMPOSTAZIONI!$C$9),"RICHIAMO MANTENIMENTO",""),IF($E212="In ciclo",IF(N($D212)&gt;=IMPOSTAZIONI!$C$5,"ULTIMA SEDUTA",IF(AND($I212&lt;&gt;"",TODAY()-$I212&gt;IMPOSTAZIONI!$C$7),"FUORI FINESTRA","PRENDI APPUNTAMENTO")),IF($E212="Da contattare","PRENDI APPUNTAMENTO","")))))))))))</f>
        <v/>
      </c>
      <c r="T212" s="17">
        <f>IF($S212="","",IFERROR(MATCH($S212,IMPOSTAZIONI!$F$5:$F$12,0),9)*100000000+(9999-MIN(9999,ROUND(N($O212)/100,0)))*10000+ROW())</f>
        <v/>
      </c>
    </row>
    <row r="213">
      <c r="A213" s="11" t="n"/>
      <c r="B213" s="12">
        <f>IF($S213="","",IFERROR(MATCH($S213,IMPOSTAZIONI!$F$5:$F$12,0),9)&amp;" · "&amp;$S213)</f>
        <v/>
      </c>
      <c r="C213" s="13" t="n"/>
      <c r="D213" s="14" t="n"/>
      <c r="E213" s="11" t="n"/>
      <c r="F213" s="15">
        <f>IF($A213="","",IF(LEN(IF(AND($C213&lt;&gt;"",$C213=TODAY())," · oggi in centro","")&amp;IF(AND($C213&lt;&gt;"",$C213&gt;=TODAY(),N($D213)+1&gt;=IMPOSTAZIONI!$C$5)," · ultima del ciclo, proponi il mantenimento","")&amp;IF(AND($C213&lt;&gt;"",$C213&gt;=TODAY(),$I213&lt;&gt;"",$C213-$I213&lt;IMPOSTAZIONI!$C$6)," · rientro anticipato, meno di "&amp;IMPOSTAZIONI!$C$6&amp;" giorni","")&amp;IF(AND($C213&lt;&gt;"",$C213&gt;=TODAY(),$I213&lt;&gt;"",$C213-$I213&gt;IMPOSTAZIONI!$C$7)," · rientro oltre "&amp;IMPOSTAZIONI!$C$7&amp;" giorni",""))=0,"",MID(IF(AND($C213&lt;&gt;"",$C213=TODAY())," · oggi in centro","")&amp;IF(AND($C213&lt;&gt;"",$C213&gt;=TODAY(),N($D213)+1&gt;=IMPOSTAZIONI!$C$5)," · ultima del ciclo, proponi il mantenimento","")&amp;IF(AND($C213&lt;&gt;"",$C213&gt;=TODAY(),$I213&lt;&gt;"",$C213-$I213&lt;IMPOSTAZIONI!$C$6)," · rientro anticipato, meno di "&amp;IMPOSTAZIONI!$C$6&amp;" giorni","")&amp;IF(AND($C213&lt;&gt;"",$C213&gt;=TODAY(),$I213&lt;&gt;"",$C213-$I213&gt;IMPOSTAZIONI!$C$7)," · rientro oltre "&amp;IMPOSTAZIONI!$C$7&amp;" giorni",""),4,300)))</f>
        <v/>
      </c>
      <c r="G213" s="16" t="n"/>
      <c r="H213" s="11" t="n"/>
      <c r="I213" s="13" t="n"/>
      <c r="J213" s="17">
        <f>IF($I213="","",TODAY()-$I213)</f>
        <v/>
      </c>
      <c r="K213" s="17">
        <f>IF($C213="","",$C213-TODAY())</f>
        <v/>
      </c>
      <c r="L213" s="15">
        <f>IF($A213="","",N($D213)&amp;"/"&amp;IMPOSTAZIONI!$C$5)</f>
        <v/>
      </c>
      <c r="M213" s="15">
        <f>IF($S213="","",IF($S213="RECUPERA CON INCENTIVO",INCENTIVI!$C$7,IF($S213="RICHIAMO MANTENIMENTO",INCENTIVI!$C$6,IF(OR($S213="FUORI FINESTRA",$S213="ULTIMA SEDUTA"),INCENTIVI!$C$5,""))))</f>
        <v/>
      </c>
      <c r="N213" s="18" t="n"/>
      <c r="O213" s="19">
        <f>IF($A213="","",N($D213)*N($N213))</f>
        <v/>
      </c>
      <c r="P213" s="19">
        <f>IF($A213="","",MAX(0,(IMPOSTAZIONI!$C$5-N($D213))*N($N213)))</f>
        <v/>
      </c>
      <c r="Q213" s="13" t="n"/>
      <c r="R213" s="11" t="n"/>
      <c r="S213" s="15">
        <f>IF($A213="","",IF(AND($C213&lt;&gt;"",$C213&lt;TODAY(),OR($I213="",$I213&lt;$C213)),"APPUNTAMENTO SALTATO",IF(AND($C213&lt;&gt;"",$C213-TODAY()=1),"CONFERMA DOMANI",IF(AND($C213&lt;&gt;"",$C213-TODAY()=IMPOSTAZIONI!$C$8),"CHIAMA PER CONFERMA",IF(AND($C213&lt;&gt;"",$C213&gt;=TODAY()),"",IF($E213="Sospesa","",IF($E213="Persa","RECUPERA CON INCENTIVO",IF(AND($I213&lt;&gt;"",TODAY()&gt;=EDATE($I213,IMPOSTAZIONI!$C$10)),"RECUPERA CON INCENTIVO",IF($E213="Mantenimento",IF(AND($I213&lt;&gt;"",TODAY()-$I213&gt;=IMPOSTAZIONI!$C$9),"RICHIAMO MANTENIMENTO",""),IF($E213="In ciclo",IF(N($D213)&gt;=IMPOSTAZIONI!$C$5,"ULTIMA SEDUTA",IF(AND($I213&lt;&gt;"",TODAY()-$I213&gt;IMPOSTAZIONI!$C$7),"FUORI FINESTRA","PRENDI APPUNTAMENTO")),IF($E213="Da contattare","PRENDI APPUNTAMENTO","")))))))))))</f>
        <v/>
      </c>
      <c r="T213" s="17">
        <f>IF($S213="","",IFERROR(MATCH($S213,IMPOSTAZIONI!$F$5:$F$12,0),9)*100000000+(9999-MIN(9999,ROUND(N($O213)/100,0)))*10000+ROW())</f>
        <v/>
      </c>
    </row>
    <row r="214">
      <c r="A214" s="11" t="n"/>
      <c r="B214" s="12">
        <f>IF($S214="","",IFERROR(MATCH($S214,IMPOSTAZIONI!$F$5:$F$12,0),9)&amp;" · "&amp;$S214)</f>
        <v/>
      </c>
      <c r="C214" s="13" t="n"/>
      <c r="D214" s="14" t="n"/>
      <c r="E214" s="11" t="n"/>
      <c r="F214" s="15">
        <f>IF($A214="","",IF(LEN(IF(AND($C214&lt;&gt;"",$C214=TODAY())," · oggi in centro","")&amp;IF(AND($C214&lt;&gt;"",$C214&gt;=TODAY(),N($D214)+1&gt;=IMPOSTAZIONI!$C$5)," · ultima del ciclo, proponi il mantenimento","")&amp;IF(AND($C214&lt;&gt;"",$C214&gt;=TODAY(),$I214&lt;&gt;"",$C214-$I214&lt;IMPOSTAZIONI!$C$6)," · rientro anticipato, meno di "&amp;IMPOSTAZIONI!$C$6&amp;" giorni","")&amp;IF(AND($C214&lt;&gt;"",$C214&gt;=TODAY(),$I214&lt;&gt;"",$C214-$I214&gt;IMPOSTAZIONI!$C$7)," · rientro oltre "&amp;IMPOSTAZIONI!$C$7&amp;" giorni",""))=0,"",MID(IF(AND($C214&lt;&gt;"",$C214=TODAY())," · oggi in centro","")&amp;IF(AND($C214&lt;&gt;"",$C214&gt;=TODAY(),N($D214)+1&gt;=IMPOSTAZIONI!$C$5)," · ultima del ciclo, proponi il mantenimento","")&amp;IF(AND($C214&lt;&gt;"",$C214&gt;=TODAY(),$I214&lt;&gt;"",$C214-$I214&lt;IMPOSTAZIONI!$C$6)," · rientro anticipato, meno di "&amp;IMPOSTAZIONI!$C$6&amp;" giorni","")&amp;IF(AND($C214&lt;&gt;"",$C214&gt;=TODAY(),$I214&lt;&gt;"",$C214-$I214&gt;IMPOSTAZIONI!$C$7)," · rientro oltre "&amp;IMPOSTAZIONI!$C$7&amp;" giorni",""),4,300)))</f>
        <v/>
      </c>
      <c r="G214" s="16" t="n"/>
      <c r="H214" s="11" t="n"/>
      <c r="I214" s="13" t="n"/>
      <c r="J214" s="17">
        <f>IF($I214="","",TODAY()-$I214)</f>
        <v/>
      </c>
      <c r="K214" s="17">
        <f>IF($C214="","",$C214-TODAY())</f>
        <v/>
      </c>
      <c r="L214" s="15">
        <f>IF($A214="","",N($D214)&amp;"/"&amp;IMPOSTAZIONI!$C$5)</f>
        <v/>
      </c>
      <c r="M214" s="15">
        <f>IF($S214="","",IF($S214="RECUPERA CON INCENTIVO",INCENTIVI!$C$7,IF($S214="RICHIAMO MANTENIMENTO",INCENTIVI!$C$6,IF(OR($S214="FUORI FINESTRA",$S214="ULTIMA SEDUTA"),INCENTIVI!$C$5,""))))</f>
        <v/>
      </c>
      <c r="N214" s="18" t="n"/>
      <c r="O214" s="19">
        <f>IF($A214="","",N($D214)*N($N214))</f>
        <v/>
      </c>
      <c r="P214" s="19">
        <f>IF($A214="","",MAX(0,(IMPOSTAZIONI!$C$5-N($D214))*N($N214)))</f>
        <v/>
      </c>
      <c r="Q214" s="13" t="n"/>
      <c r="R214" s="11" t="n"/>
      <c r="S214" s="15">
        <f>IF($A214="","",IF(AND($C214&lt;&gt;"",$C214&lt;TODAY(),OR($I214="",$I214&lt;$C214)),"APPUNTAMENTO SALTATO",IF(AND($C214&lt;&gt;"",$C214-TODAY()=1),"CONFERMA DOMANI",IF(AND($C214&lt;&gt;"",$C214-TODAY()=IMPOSTAZIONI!$C$8),"CHIAMA PER CONFERMA",IF(AND($C214&lt;&gt;"",$C214&gt;=TODAY()),"",IF($E214="Sospesa","",IF($E214="Persa","RECUPERA CON INCENTIVO",IF(AND($I214&lt;&gt;"",TODAY()&gt;=EDATE($I214,IMPOSTAZIONI!$C$10)),"RECUPERA CON INCENTIVO",IF($E214="Mantenimento",IF(AND($I214&lt;&gt;"",TODAY()-$I214&gt;=IMPOSTAZIONI!$C$9),"RICHIAMO MANTENIMENTO",""),IF($E214="In ciclo",IF(N($D214)&gt;=IMPOSTAZIONI!$C$5,"ULTIMA SEDUTA",IF(AND($I214&lt;&gt;"",TODAY()-$I214&gt;IMPOSTAZIONI!$C$7),"FUORI FINESTRA","PRENDI APPUNTAMENTO")),IF($E214="Da contattare","PRENDI APPUNTAMENTO","")))))))))))</f>
        <v/>
      </c>
      <c r="T214" s="17">
        <f>IF($S214="","",IFERROR(MATCH($S214,IMPOSTAZIONI!$F$5:$F$12,0),9)*100000000+(9999-MIN(9999,ROUND(N($O214)/100,0)))*10000+ROW())</f>
        <v/>
      </c>
    </row>
    <row r="215">
      <c r="A215" s="11" t="n"/>
      <c r="B215" s="12">
        <f>IF($S215="","",IFERROR(MATCH($S215,IMPOSTAZIONI!$F$5:$F$12,0),9)&amp;" · "&amp;$S215)</f>
        <v/>
      </c>
      <c r="C215" s="13" t="n"/>
      <c r="D215" s="14" t="n"/>
      <c r="E215" s="11" t="n"/>
      <c r="F215" s="15">
        <f>IF($A215="","",IF(LEN(IF(AND($C215&lt;&gt;"",$C215=TODAY())," · oggi in centro","")&amp;IF(AND($C215&lt;&gt;"",$C215&gt;=TODAY(),N($D215)+1&gt;=IMPOSTAZIONI!$C$5)," · ultima del ciclo, proponi il mantenimento","")&amp;IF(AND($C215&lt;&gt;"",$C215&gt;=TODAY(),$I215&lt;&gt;"",$C215-$I215&lt;IMPOSTAZIONI!$C$6)," · rientro anticipato, meno di "&amp;IMPOSTAZIONI!$C$6&amp;" giorni","")&amp;IF(AND($C215&lt;&gt;"",$C215&gt;=TODAY(),$I215&lt;&gt;"",$C215-$I215&gt;IMPOSTAZIONI!$C$7)," · rientro oltre "&amp;IMPOSTAZIONI!$C$7&amp;" giorni",""))=0,"",MID(IF(AND($C215&lt;&gt;"",$C215=TODAY())," · oggi in centro","")&amp;IF(AND($C215&lt;&gt;"",$C215&gt;=TODAY(),N($D215)+1&gt;=IMPOSTAZIONI!$C$5)," · ultima del ciclo, proponi il mantenimento","")&amp;IF(AND($C215&lt;&gt;"",$C215&gt;=TODAY(),$I215&lt;&gt;"",$C215-$I215&lt;IMPOSTAZIONI!$C$6)," · rientro anticipato, meno di "&amp;IMPOSTAZIONI!$C$6&amp;" giorni","")&amp;IF(AND($C215&lt;&gt;"",$C215&gt;=TODAY(),$I215&lt;&gt;"",$C215-$I215&gt;IMPOSTAZIONI!$C$7)," · rientro oltre "&amp;IMPOSTAZIONI!$C$7&amp;" giorni",""),4,300)))</f>
        <v/>
      </c>
      <c r="G215" s="16" t="n"/>
      <c r="H215" s="11" t="n"/>
      <c r="I215" s="13" t="n"/>
      <c r="J215" s="17">
        <f>IF($I215="","",TODAY()-$I215)</f>
        <v/>
      </c>
      <c r="K215" s="17">
        <f>IF($C215="","",$C215-TODAY())</f>
        <v/>
      </c>
      <c r="L215" s="15">
        <f>IF($A215="","",N($D215)&amp;"/"&amp;IMPOSTAZIONI!$C$5)</f>
        <v/>
      </c>
      <c r="M215" s="15">
        <f>IF($S215="","",IF($S215="RECUPERA CON INCENTIVO",INCENTIVI!$C$7,IF($S215="RICHIAMO MANTENIMENTO",INCENTIVI!$C$6,IF(OR($S215="FUORI FINESTRA",$S215="ULTIMA SEDUTA"),INCENTIVI!$C$5,""))))</f>
        <v/>
      </c>
      <c r="N215" s="18" t="n"/>
      <c r="O215" s="19">
        <f>IF($A215="","",N($D215)*N($N215))</f>
        <v/>
      </c>
      <c r="P215" s="19">
        <f>IF($A215="","",MAX(0,(IMPOSTAZIONI!$C$5-N($D215))*N($N215)))</f>
        <v/>
      </c>
      <c r="Q215" s="13" t="n"/>
      <c r="R215" s="11" t="n"/>
      <c r="S215" s="15">
        <f>IF($A215="","",IF(AND($C215&lt;&gt;"",$C215&lt;TODAY(),OR($I215="",$I215&lt;$C215)),"APPUNTAMENTO SALTATO",IF(AND($C215&lt;&gt;"",$C215-TODAY()=1),"CONFERMA DOMANI",IF(AND($C215&lt;&gt;"",$C215-TODAY()=IMPOSTAZIONI!$C$8),"CHIAMA PER CONFERMA",IF(AND($C215&lt;&gt;"",$C215&gt;=TODAY()),"",IF($E215="Sospesa","",IF($E215="Persa","RECUPERA CON INCENTIVO",IF(AND($I215&lt;&gt;"",TODAY()&gt;=EDATE($I215,IMPOSTAZIONI!$C$10)),"RECUPERA CON INCENTIVO",IF($E215="Mantenimento",IF(AND($I215&lt;&gt;"",TODAY()-$I215&gt;=IMPOSTAZIONI!$C$9),"RICHIAMO MANTENIMENTO",""),IF($E215="In ciclo",IF(N($D215)&gt;=IMPOSTAZIONI!$C$5,"ULTIMA SEDUTA",IF(AND($I215&lt;&gt;"",TODAY()-$I215&gt;IMPOSTAZIONI!$C$7),"FUORI FINESTRA","PRENDI APPUNTAMENTO")),IF($E215="Da contattare","PRENDI APPUNTAMENTO","")))))))))))</f>
        <v/>
      </c>
      <c r="T215" s="17">
        <f>IF($S215="","",IFERROR(MATCH($S215,IMPOSTAZIONI!$F$5:$F$12,0),9)*100000000+(9999-MIN(9999,ROUND(N($O215)/100,0)))*10000+ROW())</f>
        <v/>
      </c>
    </row>
    <row r="216">
      <c r="A216" s="11" t="n"/>
      <c r="B216" s="12">
        <f>IF($S216="","",IFERROR(MATCH($S216,IMPOSTAZIONI!$F$5:$F$12,0),9)&amp;" · "&amp;$S216)</f>
        <v/>
      </c>
      <c r="C216" s="13" t="n"/>
      <c r="D216" s="14" t="n"/>
      <c r="E216" s="11" t="n"/>
      <c r="F216" s="15">
        <f>IF($A216="","",IF(LEN(IF(AND($C216&lt;&gt;"",$C216=TODAY())," · oggi in centro","")&amp;IF(AND($C216&lt;&gt;"",$C216&gt;=TODAY(),N($D216)+1&gt;=IMPOSTAZIONI!$C$5)," · ultima del ciclo, proponi il mantenimento","")&amp;IF(AND($C216&lt;&gt;"",$C216&gt;=TODAY(),$I216&lt;&gt;"",$C216-$I216&lt;IMPOSTAZIONI!$C$6)," · rientro anticipato, meno di "&amp;IMPOSTAZIONI!$C$6&amp;" giorni","")&amp;IF(AND($C216&lt;&gt;"",$C216&gt;=TODAY(),$I216&lt;&gt;"",$C216-$I216&gt;IMPOSTAZIONI!$C$7)," · rientro oltre "&amp;IMPOSTAZIONI!$C$7&amp;" giorni",""))=0,"",MID(IF(AND($C216&lt;&gt;"",$C216=TODAY())," · oggi in centro","")&amp;IF(AND($C216&lt;&gt;"",$C216&gt;=TODAY(),N($D216)+1&gt;=IMPOSTAZIONI!$C$5)," · ultima del ciclo, proponi il mantenimento","")&amp;IF(AND($C216&lt;&gt;"",$C216&gt;=TODAY(),$I216&lt;&gt;"",$C216-$I216&lt;IMPOSTAZIONI!$C$6)," · rientro anticipato, meno di "&amp;IMPOSTAZIONI!$C$6&amp;" giorni","")&amp;IF(AND($C216&lt;&gt;"",$C216&gt;=TODAY(),$I216&lt;&gt;"",$C216-$I216&gt;IMPOSTAZIONI!$C$7)," · rientro oltre "&amp;IMPOSTAZIONI!$C$7&amp;" giorni",""),4,300)))</f>
        <v/>
      </c>
      <c r="G216" s="16" t="n"/>
      <c r="H216" s="11" t="n"/>
      <c r="I216" s="13" t="n"/>
      <c r="J216" s="17">
        <f>IF($I216="","",TODAY()-$I216)</f>
        <v/>
      </c>
      <c r="K216" s="17">
        <f>IF($C216="","",$C216-TODAY())</f>
        <v/>
      </c>
      <c r="L216" s="15">
        <f>IF($A216="","",N($D216)&amp;"/"&amp;IMPOSTAZIONI!$C$5)</f>
        <v/>
      </c>
      <c r="M216" s="15">
        <f>IF($S216="","",IF($S216="RECUPERA CON INCENTIVO",INCENTIVI!$C$7,IF($S216="RICHIAMO MANTENIMENTO",INCENTIVI!$C$6,IF(OR($S216="FUORI FINESTRA",$S216="ULTIMA SEDUTA"),INCENTIVI!$C$5,""))))</f>
        <v/>
      </c>
      <c r="N216" s="18" t="n"/>
      <c r="O216" s="19">
        <f>IF($A216="","",N($D216)*N($N216))</f>
        <v/>
      </c>
      <c r="P216" s="19">
        <f>IF($A216="","",MAX(0,(IMPOSTAZIONI!$C$5-N($D216))*N($N216)))</f>
        <v/>
      </c>
      <c r="Q216" s="13" t="n"/>
      <c r="R216" s="11" t="n"/>
      <c r="S216" s="15">
        <f>IF($A216="","",IF(AND($C216&lt;&gt;"",$C216&lt;TODAY(),OR($I216="",$I216&lt;$C216)),"APPUNTAMENTO SALTATO",IF(AND($C216&lt;&gt;"",$C216-TODAY()=1),"CONFERMA DOMANI",IF(AND($C216&lt;&gt;"",$C216-TODAY()=IMPOSTAZIONI!$C$8),"CHIAMA PER CONFERMA",IF(AND($C216&lt;&gt;"",$C216&gt;=TODAY()),"",IF($E216="Sospesa","",IF($E216="Persa","RECUPERA CON INCENTIVO",IF(AND($I216&lt;&gt;"",TODAY()&gt;=EDATE($I216,IMPOSTAZIONI!$C$10)),"RECUPERA CON INCENTIVO",IF($E216="Mantenimento",IF(AND($I216&lt;&gt;"",TODAY()-$I216&gt;=IMPOSTAZIONI!$C$9),"RICHIAMO MANTENIMENTO",""),IF($E216="In ciclo",IF(N($D216)&gt;=IMPOSTAZIONI!$C$5,"ULTIMA SEDUTA",IF(AND($I216&lt;&gt;"",TODAY()-$I216&gt;IMPOSTAZIONI!$C$7),"FUORI FINESTRA","PRENDI APPUNTAMENTO")),IF($E216="Da contattare","PRENDI APPUNTAMENTO","")))))))))))</f>
        <v/>
      </c>
      <c r="T216" s="17">
        <f>IF($S216="","",IFERROR(MATCH($S216,IMPOSTAZIONI!$F$5:$F$12,0),9)*100000000+(9999-MIN(9999,ROUND(N($O216)/100,0)))*10000+ROW())</f>
        <v/>
      </c>
    </row>
    <row r="217">
      <c r="A217" s="11" t="n"/>
      <c r="B217" s="12">
        <f>IF($S217="","",IFERROR(MATCH($S217,IMPOSTAZIONI!$F$5:$F$12,0),9)&amp;" · "&amp;$S217)</f>
        <v/>
      </c>
      <c r="C217" s="13" t="n"/>
      <c r="D217" s="14" t="n"/>
      <c r="E217" s="11" t="n"/>
      <c r="F217" s="15">
        <f>IF($A217="","",IF(LEN(IF(AND($C217&lt;&gt;"",$C217=TODAY())," · oggi in centro","")&amp;IF(AND($C217&lt;&gt;"",$C217&gt;=TODAY(),N($D217)+1&gt;=IMPOSTAZIONI!$C$5)," · ultima del ciclo, proponi il mantenimento","")&amp;IF(AND($C217&lt;&gt;"",$C217&gt;=TODAY(),$I217&lt;&gt;"",$C217-$I217&lt;IMPOSTAZIONI!$C$6)," · rientro anticipato, meno di "&amp;IMPOSTAZIONI!$C$6&amp;" giorni","")&amp;IF(AND($C217&lt;&gt;"",$C217&gt;=TODAY(),$I217&lt;&gt;"",$C217-$I217&gt;IMPOSTAZIONI!$C$7)," · rientro oltre "&amp;IMPOSTAZIONI!$C$7&amp;" giorni",""))=0,"",MID(IF(AND($C217&lt;&gt;"",$C217=TODAY())," · oggi in centro","")&amp;IF(AND($C217&lt;&gt;"",$C217&gt;=TODAY(),N($D217)+1&gt;=IMPOSTAZIONI!$C$5)," · ultima del ciclo, proponi il mantenimento","")&amp;IF(AND($C217&lt;&gt;"",$C217&gt;=TODAY(),$I217&lt;&gt;"",$C217-$I217&lt;IMPOSTAZIONI!$C$6)," · rientro anticipato, meno di "&amp;IMPOSTAZIONI!$C$6&amp;" giorni","")&amp;IF(AND($C217&lt;&gt;"",$C217&gt;=TODAY(),$I217&lt;&gt;"",$C217-$I217&gt;IMPOSTAZIONI!$C$7)," · rientro oltre "&amp;IMPOSTAZIONI!$C$7&amp;" giorni",""),4,300)))</f>
        <v/>
      </c>
      <c r="G217" s="16" t="n"/>
      <c r="H217" s="11" t="n"/>
      <c r="I217" s="13" t="n"/>
      <c r="J217" s="17">
        <f>IF($I217="","",TODAY()-$I217)</f>
        <v/>
      </c>
      <c r="K217" s="17">
        <f>IF($C217="","",$C217-TODAY())</f>
        <v/>
      </c>
      <c r="L217" s="15">
        <f>IF($A217="","",N($D217)&amp;"/"&amp;IMPOSTAZIONI!$C$5)</f>
        <v/>
      </c>
      <c r="M217" s="15">
        <f>IF($S217="","",IF($S217="RECUPERA CON INCENTIVO",INCENTIVI!$C$7,IF($S217="RICHIAMO MANTENIMENTO",INCENTIVI!$C$6,IF(OR($S217="FUORI FINESTRA",$S217="ULTIMA SEDUTA"),INCENTIVI!$C$5,""))))</f>
        <v/>
      </c>
      <c r="N217" s="18" t="n"/>
      <c r="O217" s="19">
        <f>IF($A217="","",N($D217)*N($N217))</f>
        <v/>
      </c>
      <c r="P217" s="19">
        <f>IF($A217="","",MAX(0,(IMPOSTAZIONI!$C$5-N($D217))*N($N217)))</f>
        <v/>
      </c>
      <c r="Q217" s="13" t="n"/>
      <c r="R217" s="11" t="n"/>
      <c r="S217" s="15">
        <f>IF($A217="","",IF(AND($C217&lt;&gt;"",$C217&lt;TODAY(),OR($I217="",$I217&lt;$C217)),"APPUNTAMENTO SALTATO",IF(AND($C217&lt;&gt;"",$C217-TODAY()=1),"CONFERMA DOMANI",IF(AND($C217&lt;&gt;"",$C217-TODAY()=IMPOSTAZIONI!$C$8),"CHIAMA PER CONFERMA",IF(AND($C217&lt;&gt;"",$C217&gt;=TODAY()),"",IF($E217="Sospesa","",IF($E217="Persa","RECUPERA CON INCENTIVO",IF(AND($I217&lt;&gt;"",TODAY()&gt;=EDATE($I217,IMPOSTAZIONI!$C$10)),"RECUPERA CON INCENTIVO",IF($E217="Mantenimento",IF(AND($I217&lt;&gt;"",TODAY()-$I217&gt;=IMPOSTAZIONI!$C$9),"RICHIAMO MANTENIMENTO",""),IF($E217="In ciclo",IF(N($D217)&gt;=IMPOSTAZIONI!$C$5,"ULTIMA SEDUTA",IF(AND($I217&lt;&gt;"",TODAY()-$I217&gt;IMPOSTAZIONI!$C$7),"FUORI FINESTRA","PRENDI APPUNTAMENTO")),IF($E217="Da contattare","PRENDI APPUNTAMENTO","")))))))))))</f>
        <v/>
      </c>
      <c r="T217" s="17">
        <f>IF($S217="","",IFERROR(MATCH($S217,IMPOSTAZIONI!$F$5:$F$12,0),9)*100000000+(9999-MIN(9999,ROUND(N($O217)/100,0)))*10000+ROW())</f>
        <v/>
      </c>
    </row>
    <row r="218">
      <c r="A218" s="11" t="n"/>
      <c r="B218" s="12">
        <f>IF($S218="","",IFERROR(MATCH($S218,IMPOSTAZIONI!$F$5:$F$12,0),9)&amp;" · "&amp;$S218)</f>
        <v/>
      </c>
      <c r="C218" s="13" t="n"/>
      <c r="D218" s="14" t="n"/>
      <c r="E218" s="11" t="n"/>
      <c r="F218" s="15">
        <f>IF($A218="","",IF(LEN(IF(AND($C218&lt;&gt;"",$C218=TODAY())," · oggi in centro","")&amp;IF(AND($C218&lt;&gt;"",$C218&gt;=TODAY(),N($D218)+1&gt;=IMPOSTAZIONI!$C$5)," · ultima del ciclo, proponi il mantenimento","")&amp;IF(AND($C218&lt;&gt;"",$C218&gt;=TODAY(),$I218&lt;&gt;"",$C218-$I218&lt;IMPOSTAZIONI!$C$6)," · rientro anticipato, meno di "&amp;IMPOSTAZIONI!$C$6&amp;" giorni","")&amp;IF(AND($C218&lt;&gt;"",$C218&gt;=TODAY(),$I218&lt;&gt;"",$C218-$I218&gt;IMPOSTAZIONI!$C$7)," · rientro oltre "&amp;IMPOSTAZIONI!$C$7&amp;" giorni",""))=0,"",MID(IF(AND($C218&lt;&gt;"",$C218=TODAY())," · oggi in centro","")&amp;IF(AND($C218&lt;&gt;"",$C218&gt;=TODAY(),N($D218)+1&gt;=IMPOSTAZIONI!$C$5)," · ultima del ciclo, proponi il mantenimento","")&amp;IF(AND($C218&lt;&gt;"",$C218&gt;=TODAY(),$I218&lt;&gt;"",$C218-$I218&lt;IMPOSTAZIONI!$C$6)," · rientro anticipato, meno di "&amp;IMPOSTAZIONI!$C$6&amp;" giorni","")&amp;IF(AND($C218&lt;&gt;"",$C218&gt;=TODAY(),$I218&lt;&gt;"",$C218-$I218&gt;IMPOSTAZIONI!$C$7)," · rientro oltre "&amp;IMPOSTAZIONI!$C$7&amp;" giorni",""),4,300)))</f>
        <v/>
      </c>
      <c r="G218" s="16" t="n"/>
      <c r="H218" s="11" t="n"/>
      <c r="I218" s="13" t="n"/>
      <c r="J218" s="17">
        <f>IF($I218="","",TODAY()-$I218)</f>
        <v/>
      </c>
      <c r="K218" s="17">
        <f>IF($C218="","",$C218-TODAY())</f>
        <v/>
      </c>
      <c r="L218" s="15">
        <f>IF($A218="","",N($D218)&amp;"/"&amp;IMPOSTAZIONI!$C$5)</f>
        <v/>
      </c>
      <c r="M218" s="15">
        <f>IF($S218="","",IF($S218="RECUPERA CON INCENTIVO",INCENTIVI!$C$7,IF($S218="RICHIAMO MANTENIMENTO",INCENTIVI!$C$6,IF(OR($S218="FUORI FINESTRA",$S218="ULTIMA SEDUTA"),INCENTIVI!$C$5,""))))</f>
        <v/>
      </c>
      <c r="N218" s="18" t="n"/>
      <c r="O218" s="19">
        <f>IF($A218="","",N($D218)*N($N218))</f>
        <v/>
      </c>
      <c r="P218" s="19">
        <f>IF($A218="","",MAX(0,(IMPOSTAZIONI!$C$5-N($D218))*N($N218)))</f>
        <v/>
      </c>
      <c r="Q218" s="13" t="n"/>
      <c r="R218" s="11" t="n"/>
      <c r="S218" s="15">
        <f>IF($A218="","",IF(AND($C218&lt;&gt;"",$C218&lt;TODAY(),OR($I218="",$I218&lt;$C218)),"APPUNTAMENTO SALTATO",IF(AND($C218&lt;&gt;"",$C218-TODAY()=1),"CONFERMA DOMANI",IF(AND($C218&lt;&gt;"",$C218-TODAY()=IMPOSTAZIONI!$C$8),"CHIAMA PER CONFERMA",IF(AND($C218&lt;&gt;"",$C218&gt;=TODAY()),"",IF($E218="Sospesa","",IF($E218="Persa","RECUPERA CON INCENTIVO",IF(AND($I218&lt;&gt;"",TODAY()&gt;=EDATE($I218,IMPOSTAZIONI!$C$10)),"RECUPERA CON INCENTIVO",IF($E218="Mantenimento",IF(AND($I218&lt;&gt;"",TODAY()-$I218&gt;=IMPOSTAZIONI!$C$9),"RICHIAMO MANTENIMENTO",""),IF($E218="In ciclo",IF(N($D218)&gt;=IMPOSTAZIONI!$C$5,"ULTIMA SEDUTA",IF(AND($I218&lt;&gt;"",TODAY()-$I218&gt;IMPOSTAZIONI!$C$7),"FUORI FINESTRA","PRENDI APPUNTAMENTO")),IF($E218="Da contattare","PRENDI APPUNTAMENTO","")))))))))))</f>
        <v/>
      </c>
      <c r="T218" s="17">
        <f>IF($S218="","",IFERROR(MATCH($S218,IMPOSTAZIONI!$F$5:$F$12,0),9)*100000000+(9999-MIN(9999,ROUND(N($O218)/100,0)))*10000+ROW())</f>
        <v/>
      </c>
    </row>
    <row r="219">
      <c r="A219" s="11" t="n"/>
      <c r="B219" s="12">
        <f>IF($S219="","",IFERROR(MATCH($S219,IMPOSTAZIONI!$F$5:$F$12,0),9)&amp;" · "&amp;$S219)</f>
        <v/>
      </c>
      <c r="C219" s="13" t="n"/>
      <c r="D219" s="14" t="n"/>
      <c r="E219" s="11" t="n"/>
      <c r="F219" s="15">
        <f>IF($A219="","",IF(LEN(IF(AND($C219&lt;&gt;"",$C219=TODAY())," · oggi in centro","")&amp;IF(AND($C219&lt;&gt;"",$C219&gt;=TODAY(),N($D219)+1&gt;=IMPOSTAZIONI!$C$5)," · ultima del ciclo, proponi il mantenimento","")&amp;IF(AND($C219&lt;&gt;"",$C219&gt;=TODAY(),$I219&lt;&gt;"",$C219-$I219&lt;IMPOSTAZIONI!$C$6)," · rientro anticipato, meno di "&amp;IMPOSTAZIONI!$C$6&amp;" giorni","")&amp;IF(AND($C219&lt;&gt;"",$C219&gt;=TODAY(),$I219&lt;&gt;"",$C219-$I219&gt;IMPOSTAZIONI!$C$7)," · rientro oltre "&amp;IMPOSTAZIONI!$C$7&amp;" giorni",""))=0,"",MID(IF(AND($C219&lt;&gt;"",$C219=TODAY())," · oggi in centro","")&amp;IF(AND($C219&lt;&gt;"",$C219&gt;=TODAY(),N($D219)+1&gt;=IMPOSTAZIONI!$C$5)," · ultima del ciclo, proponi il mantenimento","")&amp;IF(AND($C219&lt;&gt;"",$C219&gt;=TODAY(),$I219&lt;&gt;"",$C219-$I219&lt;IMPOSTAZIONI!$C$6)," · rientro anticipato, meno di "&amp;IMPOSTAZIONI!$C$6&amp;" giorni","")&amp;IF(AND($C219&lt;&gt;"",$C219&gt;=TODAY(),$I219&lt;&gt;"",$C219-$I219&gt;IMPOSTAZIONI!$C$7)," · rientro oltre "&amp;IMPOSTAZIONI!$C$7&amp;" giorni",""),4,300)))</f>
        <v/>
      </c>
      <c r="G219" s="16" t="n"/>
      <c r="H219" s="11" t="n"/>
      <c r="I219" s="13" t="n"/>
      <c r="J219" s="17">
        <f>IF($I219="","",TODAY()-$I219)</f>
        <v/>
      </c>
      <c r="K219" s="17">
        <f>IF($C219="","",$C219-TODAY())</f>
        <v/>
      </c>
      <c r="L219" s="15">
        <f>IF($A219="","",N($D219)&amp;"/"&amp;IMPOSTAZIONI!$C$5)</f>
        <v/>
      </c>
      <c r="M219" s="15">
        <f>IF($S219="","",IF($S219="RECUPERA CON INCENTIVO",INCENTIVI!$C$7,IF($S219="RICHIAMO MANTENIMENTO",INCENTIVI!$C$6,IF(OR($S219="FUORI FINESTRA",$S219="ULTIMA SEDUTA"),INCENTIVI!$C$5,""))))</f>
        <v/>
      </c>
      <c r="N219" s="18" t="n"/>
      <c r="O219" s="19">
        <f>IF($A219="","",N($D219)*N($N219))</f>
        <v/>
      </c>
      <c r="P219" s="19">
        <f>IF($A219="","",MAX(0,(IMPOSTAZIONI!$C$5-N($D219))*N($N219)))</f>
        <v/>
      </c>
      <c r="Q219" s="13" t="n"/>
      <c r="R219" s="11" t="n"/>
      <c r="S219" s="15">
        <f>IF($A219="","",IF(AND($C219&lt;&gt;"",$C219&lt;TODAY(),OR($I219="",$I219&lt;$C219)),"APPUNTAMENTO SALTATO",IF(AND($C219&lt;&gt;"",$C219-TODAY()=1),"CONFERMA DOMANI",IF(AND($C219&lt;&gt;"",$C219-TODAY()=IMPOSTAZIONI!$C$8),"CHIAMA PER CONFERMA",IF(AND($C219&lt;&gt;"",$C219&gt;=TODAY()),"",IF($E219="Sospesa","",IF($E219="Persa","RECUPERA CON INCENTIVO",IF(AND($I219&lt;&gt;"",TODAY()&gt;=EDATE($I219,IMPOSTAZIONI!$C$10)),"RECUPERA CON INCENTIVO",IF($E219="Mantenimento",IF(AND($I219&lt;&gt;"",TODAY()-$I219&gt;=IMPOSTAZIONI!$C$9),"RICHIAMO MANTENIMENTO",""),IF($E219="In ciclo",IF(N($D219)&gt;=IMPOSTAZIONI!$C$5,"ULTIMA SEDUTA",IF(AND($I219&lt;&gt;"",TODAY()-$I219&gt;IMPOSTAZIONI!$C$7),"FUORI FINESTRA","PRENDI APPUNTAMENTO")),IF($E219="Da contattare","PRENDI APPUNTAMENTO","")))))))))))</f>
        <v/>
      </c>
      <c r="T219" s="17">
        <f>IF($S219="","",IFERROR(MATCH($S219,IMPOSTAZIONI!$F$5:$F$12,0),9)*100000000+(9999-MIN(9999,ROUND(N($O219)/100,0)))*10000+ROW())</f>
        <v/>
      </c>
    </row>
    <row r="220">
      <c r="A220" s="11" t="n"/>
      <c r="B220" s="12">
        <f>IF($S220="","",IFERROR(MATCH($S220,IMPOSTAZIONI!$F$5:$F$12,0),9)&amp;" · "&amp;$S220)</f>
        <v/>
      </c>
      <c r="C220" s="13" t="n"/>
      <c r="D220" s="14" t="n"/>
      <c r="E220" s="11" t="n"/>
      <c r="F220" s="15">
        <f>IF($A220="","",IF(LEN(IF(AND($C220&lt;&gt;"",$C220=TODAY())," · oggi in centro","")&amp;IF(AND($C220&lt;&gt;"",$C220&gt;=TODAY(),N($D220)+1&gt;=IMPOSTAZIONI!$C$5)," · ultima del ciclo, proponi il mantenimento","")&amp;IF(AND($C220&lt;&gt;"",$C220&gt;=TODAY(),$I220&lt;&gt;"",$C220-$I220&lt;IMPOSTAZIONI!$C$6)," · rientro anticipato, meno di "&amp;IMPOSTAZIONI!$C$6&amp;" giorni","")&amp;IF(AND($C220&lt;&gt;"",$C220&gt;=TODAY(),$I220&lt;&gt;"",$C220-$I220&gt;IMPOSTAZIONI!$C$7)," · rientro oltre "&amp;IMPOSTAZIONI!$C$7&amp;" giorni",""))=0,"",MID(IF(AND($C220&lt;&gt;"",$C220=TODAY())," · oggi in centro","")&amp;IF(AND($C220&lt;&gt;"",$C220&gt;=TODAY(),N($D220)+1&gt;=IMPOSTAZIONI!$C$5)," · ultima del ciclo, proponi il mantenimento","")&amp;IF(AND($C220&lt;&gt;"",$C220&gt;=TODAY(),$I220&lt;&gt;"",$C220-$I220&lt;IMPOSTAZIONI!$C$6)," · rientro anticipato, meno di "&amp;IMPOSTAZIONI!$C$6&amp;" giorni","")&amp;IF(AND($C220&lt;&gt;"",$C220&gt;=TODAY(),$I220&lt;&gt;"",$C220-$I220&gt;IMPOSTAZIONI!$C$7)," · rientro oltre "&amp;IMPOSTAZIONI!$C$7&amp;" giorni",""),4,300)))</f>
        <v/>
      </c>
      <c r="G220" s="16" t="n"/>
      <c r="H220" s="11" t="n"/>
      <c r="I220" s="13" t="n"/>
      <c r="J220" s="17">
        <f>IF($I220="","",TODAY()-$I220)</f>
        <v/>
      </c>
      <c r="K220" s="17">
        <f>IF($C220="","",$C220-TODAY())</f>
        <v/>
      </c>
      <c r="L220" s="15">
        <f>IF($A220="","",N($D220)&amp;"/"&amp;IMPOSTAZIONI!$C$5)</f>
        <v/>
      </c>
      <c r="M220" s="15">
        <f>IF($S220="","",IF($S220="RECUPERA CON INCENTIVO",INCENTIVI!$C$7,IF($S220="RICHIAMO MANTENIMENTO",INCENTIVI!$C$6,IF(OR($S220="FUORI FINESTRA",$S220="ULTIMA SEDUTA"),INCENTIVI!$C$5,""))))</f>
        <v/>
      </c>
      <c r="N220" s="18" t="n"/>
      <c r="O220" s="19">
        <f>IF($A220="","",N($D220)*N($N220))</f>
        <v/>
      </c>
      <c r="P220" s="19">
        <f>IF($A220="","",MAX(0,(IMPOSTAZIONI!$C$5-N($D220))*N($N220)))</f>
        <v/>
      </c>
      <c r="Q220" s="13" t="n"/>
      <c r="R220" s="11" t="n"/>
      <c r="S220" s="15">
        <f>IF($A220="","",IF(AND($C220&lt;&gt;"",$C220&lt;TODAY(),OR($I220="",$I220&lt;$C220)),"APPUNTAMENTO SALTATO",IF(AND($C220&lt;&gt;"",$C220-TODAY()=1),"CONFERMA DOMANI",IF(AND($C220&lt;&gt;"",$C220-TODAY()=IMPOSTAZIONI!$C$8),"CHIAMA PER CONFERMA",IF(AND($C220&lt;&gt;"",$C220&gt;=TODAY()),"",IF($E220="Sospesa","",IF($E220="Persa","RECUPERA CON INCENTIVO",IF(AND($I220&lt;&gt;"",TODAY()&gt;=EDATE($I220,IMPOSTAZIONI!$C$10)),"RECUPERA CON INCENTIVO",IF($E220="Mantenimento",IF(AND($I220&lt;&gt;"",TODAY()-$I220&gt;=IMPOSTAZIONI!$C$9),"RICHIAMO MANTENIMENTO",""),IF($E220="In ciclo",IF(N($D220)&gt;=IMPOSTAZIONI!$C$5,"ULTIMA SEDUTA",IF(AND($I220&lt;&gt;"",TODAY()-$I220&gt;IMPOSTAZIONI!$C$7),"FUORI FINESTRA","PRENDI APPUNTAMENTO")),IF($E220="Da contattare","PRENDI APPUNTAMENTO","")))))))))))</f>
        <v/>
      </c>
      <c r="T220" s="17">
        <f>IF($S220="","",IFERROR(MATCH($S220,IMPOSTAZIONI!$F$5:$F$12,0),9)*100000000+(9999-MIN(9999,ROUND(N($O220)/100,0)))*10000+ROW())</f>
        <v/>
      </c>
    </row>
    <row r="221">
      <c r="A221" s="11" t="n"/>
      <c r="B221" s="12">
        <f>IF($S221="","",IFERROR(MATCH($S221,IMPOSTAZIONI!$F$5:$F$12,0),9)&amp;" · "&amp;$S221)</f>
        <v/>
      </c>
      <c r="C221" s="13" t="n"/>
      <c r="D221" s="14" t="n"/>
      <c r="E221" s="11" t="n"/>
      <c r="F221" s="15">
        <f>IF($A221="","",IF(LEN(IF(AND($C221&lt;&gt;"",$C221=TODAY())," · oggi in centro","")&amp;IF(AND($C221&lt;&gt;"",$C221&gt;=TODAY(),N($D221)+1&gt;=IMPOSTAZIONI!$C$5)," · ultima del ciclo, proponi il mantenimento","")&amp;IF(AND($C221&lt;&gt;"",$C221&gt;=TODAY(),$I221&lt;&gt;"",$C221-$I221&lt;IMPOSTAZIONI!$C$6)," · rientro anticipato, meno di "&amp;IMPOSTAZIONI!$C$6&amp;" giorni","")&amp;IF(AND($C221&lt;&gt;"",$C221&gt;=TODAY(),$I221&lt;&gt;"",$C221-$I221&gt;IMPOSTAZIONI!$C$7)," · rientro oltre "&amp;IMPOSTAZIONI!$C$7&amp;" giorni",""))=0,"",MID(IF(AND($C221&lt;&gt;"",$C221=TODAY())," · oggi in centro","")&amp;IF(AND($C221&lt;&gt;"",$C221&gt;=TODAY(),N($D221)+1&gt;=IMPOSTAZIONI!$C$5)," · ultima del ciclo, proponi il mantenimento","")&amp;IF(AND($C221&lt;&gt;"",$C221&gt;=TODAY(),$I221&lt;&gt;"",$C221-$I221&lt;IMPOSTAZIONI!$C$6)," · rientro anticipato, meno di "&amp;IMPOSTAZIONI!$C$6&amp;" giorni","")&amp;IF(AND($C221&lt;&gt;"",$C221&gt;=TODAY(),$I221&lt;&gt;"",$C221-$I221&gt;IMPOSTAZIONI!$C$7)," · rientro oltre "&amp;IMPOSTAZIONI!$C$7&amp;" giorni",""),4,300)))</f>
        <v/>
      </c>
      <c r="G221" s="16" t="n"/>
      <c r="H221" s="11" t="n"/>
      <c r="I221" s="13" t="n"/>
      <c r="J221" s="17">
        <f>IF($I221="","",TODAY()-$I221)</f>
        <v/>
      </c>
      <c r="K221" s="17">
        <f>IF($C221="","",$C221-TODAY())</f>
        <v/>
      </c>
      <c r="L221" s="15">
        <f>IF($A221="","",N($D221)&amp;"/"&amp;IMPOSTAZIONI!$C$5)</f>
        <v/>
      </c>
      <c r="M221" s="15">
        <f>IF($S221="","",IF($S221="RECUPERA CON INCENTIVO",INCENTIVI!$C$7,IF($S221="RICHIAMO MANTENIMENTO",INCENTIVI!$C$6,IF(OR($S221="FUORI FINESTRA",$S221="ULTIMA SEDUTA"),INCENTIVI!$C$5,""))))</f>
        <v/>
      </c>
      <c r="N221" s="18" t="n"/>
      <c r="O221" s="19">
        <f>IF($A221="","",N($D221)*N($N221))</f>
        <v/>
      </c>
      <c r="P221" s="19">
        <f>IF($A221="","",MAX(0,(IMPOSTAZIONI!$C$5-N($D221))*N($N221)))</f>
        <v/>
      </c>
      <c r="Q221" s="13" t="n"/>
      <c r="R221" s="11" t="n"/>
      <c r="S221" s="15">
        <f>IF($A221="","",IF(AND($C221&lt;&gt;"",$C221&lt;TODAY(),OR($I221="",$I221&lt;$C221)),"APPUNTAMENTO SALTATO",IF(AND($C221&lt;&gt;"",$C221-TODAY()=1),"CONFERMA DOMANI",IF(AND($C221&lt;&gt;"",$C221-TODAY()=IMPOSTAZIONI!$C$8),"CHIAMA PER CONFERMA",IF(AND($C221&lt;&gt;"",$C221&gt;=TODAY()),"",IF($E221="Sospesa","",IF($E221="Persa","RECUPERA CON INCENTIVO",IF(AND($I221&lt;&gt;"",TODAY()&gt;=EDATE($I221,IMPOSTAZIONI!$C$10)),"RECUPERA CON INCENTIVO",IF($E221="Mantenimento",IF(AND($I221&lt;&gt;"",TODAY()-$I221&gt;=IMPOSTAZIONI!$C$9),"RICHIAMO MANTENIMENTO",""),IF($E221="In ciclo",IF(N($D221)&gt;=IMPOSTAZIONI!$C$5,"ULTIMA SEDUTA",IF(AND($I221&lt;&gt;"",TODAY()-$I221&gt;IMPOSTAZIONI!$C$7),"FUORI FINESTRA","PRENDI APPUNTAMENTO")),IF($E221="Da contattare","PRENDI APPUNTAMENTO","")))))))))))</f>
        <v/>
      </c>
      <c r="T221" s="17">
        <f>IF($S221="","",IFERROR(MATCH($S221,IMPOSTAZIONI!$F$5:$F$12,0),9)*100000000+(9999-MIN(9999,ROUND(N($O221)/100,0)))*10000+ROW())</f>
        <v/>
      </c>
    </row>
    <row r="222">
      <c r="A222" s="11" t="n"/>
      <c r="B222" s="12">
        <f>IF($S222="","",IFERROR(MATCH($S222,IMPOSTAZIONI!$F$5:$F$12,0),9)&amp;" · "&amp;$S222)</f>
        <v/>
      </c>
      <c r="C222" s="13" t="n"/>
      <c r="D222" s="14" t="n"/>
      <c r="E222" s="11" t="n"/>
      <c r="F222" s="15">
        <f>IF($A222="","",IF(LEN(IF(AND($C222&lt;&gt;"",$C222=TODAY())," · oggi in centro","")&amp;IF(AND($C222&lt;&gt;"",$C222&gt;=TODAY(),N($D222)+1&gt;=IMPOSTAZIONI!$C$5)," · ultima del ciclo, proponi il mantenimento","")&amp;IF(AND($C222&lt;&gt;"",$C222&gt;=TODAY(),$I222&lt;&gt;"",$C222-$I222&lt;IMPOSTAZIONI!$C$6)," · rientro anticipato, meno di "&amp;IMPOSTAZIONI!$C$6&amp;" giorni","")&amp;IF(AND($C222&lt;&gt;"",$C222&gt;=TODAY(),$I222&lt;&gt;"",$C222-$I222&gt;IMPOSTAZIONI!$C$7)," · rientro oltre "&amp;IMPOSTAZIONI!$C$7&amp;" giorni",""))=0,"",MID(IF(AND($C222&lt;&gt;"",$C222=TODAY())," · oggi in centro","")&amp;IF(AND($C222&lt;&gt;"",$C222&gt;=TODAY(),N($D222)+1&gt;=IMPOSTAZIONI!$C$5)," · ultima del ciclo, proponi il mantenimento","")&amp;IF(AND($C222&lt;&gt;"",$C222&gt;=TODAY(),$I222&lt;&gt;"",$C222-$I222&lt;IMPOSTAZIONI!$C$6)," · rientro anticipato, meno di "&amp;IMPOSTAZIONI!$C$6&amp;" giorni","")&amp;IF(AND($C222&lt;&gt;"",$C222&gt;=TODAY(),$I222&lt;&gt;"",$C222-$I222&gt;IMPOSTAZIONI!$C$7)," · rientro oltre "&amp;IMPOSTAZIONI!$C$7&amp;" giorni",""),4,300)))</f>
        <v/>
      </c>
      <c r="G222" s="16" t="n"/>
      <c r="H222" s="11" t="n"/>
      <c r="I222" s="13" t="n"/>
      <c r="J222" s="17">
        <f>IF($I222="","",TODAY()-$I222)</f>
        <v/>
      </c>
      <c r="K222" s="17">
        <f>IF($C222="","",$C222-TODAY())</f>
        <v/>
      </c>
      <c r="L222" s="15">
        <f>IF($A222="","",N($D222)&amp;"/"&amp;IMPOSTAZIONI!$C$5)</f>
        <v/>
      </c>
      <c r="M222" s="15">
        <f>IF($S222="","",IF($S222="RECUPERA CON INCENTIVO",INCENTIVI!$C$7,IF($S222="RICHIAMO MANTENIMENTO",INCENTIVI!$C$6,IF(OR($S222="FUORI FINESTRA",$S222="ULTIMA SEDUTA"),INCENTIVI!$C$5,""))))</f>
        <v/>
      </c>
      <c r="N222" s="18" t="n"/>
      <c r="O222" s="19">
        <f>IF($A222="","",N($D222)*N($N222))</f>
        <v/>
      </c>
      <c r="P222" s="19">
        <f>IF($A222="","",MAX(0,(IMPOSTAZIONI!$C$5-N($D222))*N($N222)))</f>
        <v/>
      </c>
      <c r="Q222" s="13" t="n"/>
      <c r="R222" s="11" t="n"/>
      <c r="S222" s="15">
        <f>IF($A222="","",IF(AND($C222&lt;&gt;"",$C222&lt;TODAY(),OR($I222="",$I222&lt;$C222)),"APPUNTAMENTO SALTATO",IF(AND($C222&lt;&gt;"",$C222-TODAY()=1),"CONFERMA DOMANI",IF(AND($C222&lt;&gt;"",$C222-TODAY()=IMPOSTAZIONI!$C$8),"CHIAMA PER CONFERMA",IF(AND($C222&lt;&gt;"",$C222&gt;=TODAY()),"",IF($E222="Sospesa","",IF($E222="Persa","RECUPERA CON INCENTIVO",IF(AND($I222&lt;&gt;"",TODAY()&gt;=EDATE($I222,IMPOSTAZIONI!$C$10)),"RECUPERA CON INCENTIVO",IF($E222="Mantenimento",IF(AND($I222&lt;&gt;"",TODAY()-$I222&gt;=IMPOSTAZIONI!$C$9),"RICHIAMO MANTENIMENTO",""),IF($E222="In ciclo",IF(N($D222)&gt;=IMPOSTAZIONI!$C$5,"ULTIMA SEDUTA",IF(AND($I222&lt;&gt;"",TODAY()-$I222&gt;IMPOSTAZIONI!$C$7),"FUORI FINESTRA","PRENDI APPUNTAMENTO")),IF($E222="Da contattare","PRENDI APPUNTAMENTO","")))))))))))</f>
        <v/>
      </c>
      <c r="T222" s="17">
        <f>IF($S222="","",IFERROR(MATCH($S222,IMPOSTAZIONI!$F$5:$F$12,0),9)*100000000+(9999-MIN(9999,ROUND(N($O222)/100,0)))*10000+ROW())</f>
        <v/>
      </c>
    </row>
    <row r="223">
      <c r="A223" s="11" t="n"/>
      <c r="B223" s="12">
        <f>IF($S223="","",IFERROR(MATCH($S223,IMPOSTAZIONI!$F$5:$F$12,0),9)&amp;" · "&amp;$S223)</f>
        <v/>
      </c>
      <c r="C223" s="13" t="n"/>
      <c r="D223" s="14" t="n"/>
      <c r="E223" s="11" t="n"/>
      <c r="F223" s="15">
        <f>IF($A223="","",IF(LEN(IF(AND($C223&lt;&gt;"",$C223=TODAY())," · oggi in centro","")&amp;IF(AND($C223&lt;&gt;"",$C223&gt;=TODAY(),N($D223)+1&gt;=IMPOSTAZIONI!$C$5)," · ultima del ciclo, proponi il mantenimento","")&amp;IF(AND($C223&lt;&gt;"",$C223&gt;=TODAY(),$I223&lt;&gt;"",$C223-$I223&lt;IMPOSTAZIONI!$C$6)," · rientro anticipato, meno di "&amp;IMPOSTAZIONI!$C$6&amp;" giorni","")&amp;IF(AND($C223&lt;&gt;"",$C223&gt;=TODAY(),$I223&lt;&gt;"",$C223-$I223&gt;IMPOSTAZIONI!$C$7)," · rientro oltre "&amp;IMPOSTAZIONI!$C$7&amp;" giorni",""))=0,"",MID(IF(AND($C223&lt;&gt;"",$C223=TODAY())," · oggi in centro","")&amp;IF(AND($C223&lt;&gt;"",$C223&gt;=TODAY(),N($D223)+1&gt;=IMPOSTAZIONI!$C$5)," · ultima del ciclo, proponi il mantenimento","")&amp;IF(AND($C223&lt;&gt;"",$C223&gt;=TODAY(),$I223&lt;&gt;"",$C223-$I223&lt;IMPOSTAZIONI!$C$6)," · rientro anticipato, meno di "&amp;IMPOSTAZIONI!$C$6&amp;" giorni","")&amp;IF(AND($C223&lt;&gt;"",$C223&gt;=TODAY(),$I223&lt;&gt;"",$C223-$I223&gt;IMPOSTAZIONI!$C$7)," · rientro oltre "&amp;IMPOSTAZIONI!$C$7&amp;" giorni",""),4,300)))</f>
        <v/>
      </c>
      <c r="G223" s="16" t="n"/>
      <c r="H223" s="11" t="n"/>
      <c r="I223" s="13" t="n"/>
      <c r="J223" s="17">
        <f>IF($I223="","",TODAY()-$I223)</f>
        <v/>
      </c>
      <c r="K223" s="17">
        <f>IF($C223="","",$C223-TODAY())</f>
        <v/>
      </c>
      <c r="L223" s="15">
        <f>IF($A223="","",N($D223)&amp;"/"&amp;IMPOSTAZIONI!$C$5)</f>
        <v/>
      </c>
      <c r="M223" s="15">
        <f>IF($S223="","",IF($S223="RECUPERA CON INCENTIVO",INCENTIVI!$C$7,IF($S223="RICHIAMO MANTENIMENTO",INCENTIVI!$C$6,IF(OR($S223="FUORI FINESTRA",$S223="ULTIMA SEDUTA"),INCENTIVI!$C$5,""))))</f>
        <v/>
      </c>
      <c r="N223" s="18" t="n"/>
      <c r="O223" s="19">
        <f>IF($A223="","",N($D223)*N($N223))</f>
        <v/>
      </c>
      <c r="P223" s="19">
        <f>IF($A223="","",MAX(0,(IMPOSTAZIONI!$C$5-N($D223))*N($N223)))</f>
        <v/>
      </c>
      <c r="Q223" s="13" t="n"/>
      <c r="R223" s="11" t="n"/>
      <c r="S223" s="15">
        <f>IF($A223="","",IF(AND($C223&lt;&gt;"",$C223&lt;TODAY(),OR($I223="",$I223&lt;$C223)),"APPUNTAMENTO SALTATO",IF(AND($C223&lt;&gt;"",$C223-TODAY()=1),"CONFERMA DOMANI",IF(AND($C223&lt;&gt;"",$C223-TODAY()=IMPOSTAZIONI!$C$8),"CHIAMA PER CONFERMA",IF(AND($C223&lt;&gt;"",$C223&gt;=TODAY()),"",IF($E223="Sospesa","",IF($E223="Persa","RECUPERA CON INCENTIVO",IF(AND($I223&lt;&gt;"",TODAY()&gt;=EDATE($I223,IMPOSTAZIONI!$C$10)),"RECUPERA CON INCENTIVO",IF($E223="Mantenimento",IF(AND($I223&lt;&gt;"",TODAY()-$I223&gt;=IMPOSTAZIONI!$C$9),"RICHIAMO MANTENIMENTO",""),IF($E223="In ciclo",IF(N($D223)&gt;=IMPOSTAZIONI!$C$5,"ULTIMA SEDUTA",IF(AND($I223&lt;&gt;"",TODAY()-$I223&gt;IMPOSTAZIONI!$C$7),"FUORI FINESTRA","PRENDI APPUNTAMENTO")),IF($E223="Da contattare","PRENDI APPUNTAMENTO","")))))))))))</f>
        <v/>
      </c>
      <c r="T223" s="17">
        <f>IF($S223="","",IFERROR(MATCH($S223,IMPOSTAZIONI!$F$5:$F$12,0),9)*100000000+(9999-MIN(9999,ROUND(N($O223)/100,0)))*10000+ROW())</f>
        <v/>
      </c>
    </row>
    <row r="224">
      <c r="A224" s="11" t="n"/>
      <c r="B224" s="12">
        <f>IF($S224="","",IFERROR(MATCH($S224,IMPOSTAZIONI!$F$5:$F$12,0),9)&amp;" · "&amp;$S224)</f>
        <v/>
      </c>
      <c r="C224" s="13" t="n"/>
      <c r="D224" s="14" t="n"/>
      <c r="E224" s="11" t="n"/>
      <c r="F224" s="15">
        <f>IF($A224="","",IF(LEN(IF(AND($C224&lt;&gt;"",$C224=TODAY())," · oggi in centro","")&amp;IF(AND($C224&lt;&gt;"",$C224&gt;=TODAY(),N($D224)+1&gt;=IMPOSTAZIONI!$C$5)," · ultima del ciclo, proponi il mantenimento","")&amp;IF(AND($C224&lt;&gt;"",$C224&gt;=TODAY(),$I224&lt;&gt;"",$C224-$I224&lt;IMPOSTAZIONI!$C$6)," · rientro anticipato, meno di "&amp;IMPOSTAZIONI!$C$6&amp;" giorni","")&amp;IF(AND($C224&lt;&gt;"",$C224&gt;=TODAY(),$I224&lt;&gt;"",$C224-$I224&gt;IMPOSTAZIONI!$C$7)," · rientro oltre "&amp;IMPOSTAZIONI!$C$7&amp;" giorni",""))=0,"",MID(IF(AND($C224&lt;&gt;"",$C224=TODAY())," · oggi in centro","")&amp;IF(AND($C224&lt;&gt;"",$C224&gt;=TODAY(),N($D224)+1&gt;=IMPOSTAZIONI!$C$5)," · ultima del ciclo, proponi il mantenimento","")&amp;IF(AND($C224&lt;&gt;"",$C224&gt;=TODAY(),$I224&lt;&gt;"",$C224-$I224&lt;IMPOSTAZIONI!$C$6)," · rientro anticipato, meno di "&amp;IMPOSTAZIONI!$C$6&amp;" giorni","")&amp;IF(AND($C224&lt;&gt;"",$C224&gt;=TODAY(),$I224&lt;&gt;"",$C224-$I224&gt;IMPOSTAZIONI!$C$7)," · rientro oltre "&amp;IMPOSTAZIONI!$C$7&amp;" giorni",""),4,300)))</f>
        <v/>
      </c>
      <c r="G224" s="16" t="n"/>
      <c r="H224" s="11" t="n"/>
      <c r="I224" s="13" t="n"/>
      <c r="J224" s="17">
        <f>IF($I224="","",TODAY()-$I224)</f>
        <v/>
      </c>
      <c r="K224" s="17">
        <f>IF($C224="","",$C224-TODAY())</f>
        <v/>
      </c>
      <c r="L224" s="15">
        <f>IF($A224="","",N($D224)&amp;"/"&amp;IMPOSTAZIONI!$C$5)</f>
        <v/>
      </c>
      <c r="M224" s="15">
        <f>IF($S224="","",IF($S224="RECUPERA CON INCENTIVO",INCENTIVI!$C$7,IF($S224="RICHIAMO MANTENIMENTO",INCENTIVI!$C$6,IF(OR($S224="FUORI FINESTRA",$S224="ULTIMA SEDUTA"),INCENTIVI!$C$5,""))))</f>
        <v/>
      </c>
      <c r="N224" s="18" t="n"/>
      <c r="O224" s="19">
        <f>IF($A224="","",N($D224)*N($N224))</f>
        <v/>
      </c>
      <c r="P224" s="19">
        <f>IF($A224="","",MAX(0,(IMPOSTAZIONI!$C$5-N($D224))*N($N224)))</f>
        <v/>
      </c>
      <c r="Q224" s="13" t="n"/>
      <c r="R224" s="11" t="n"/>
      <c r="S224" s="15">
        <f>IF($A224="","",IF(AND($C224&lt;&gt;"",$C224&lt;TODAY(),OR($I224="",$I224&lt;$C224)),"APPUNTAMENTO SALTATO",IF(AND($C224&lt;&gt;"",$C224-TODAY()=1),"CONFERMA DOMANI",IF(AND($C224&lt;&gt;"",$C224-TODAY()=IMPOSTAZIONI!$C$8),"CHIAMA PER CONFERMA",IF(AND($C224&lt;&gt;"",$C224&gt;=TODAY()),"",IF($E224="Sospesa","",IF($E224="Persa","RECUPERA CON INCENTIVO",IF(AND($I224&lt;&gt;"",TODAY()&gt;=EDATE($I224,IMPOSTAZIONI!$C$10)),"RECUPERA CON INCENTIVO",IF($E224="Mantenimento",IF(AND($I224&lt;&gt;"",TODAY()-$I224&gt;=IMPOSTAZIONI!$C$9),"RICHIAMO MANTENIMENTO",""),IF($E224="In ciclo",IF(N($D224)&gt;=IMPOSTAZIONI!$C$5,"ULTIMA SEDUTA",IF(AND($I224&lt;&gt;"",TODAY()-$I224&gt;IMPOSTAZIONI!$C$7),"FUORI FINESTRA","PRENDI APPUNTAMENTO")),IF($E224="Da contattare","PRENDI APPUNTAMENTO","")))))))))))</f>
        <v/>
      </c>
      <c r="T224" s="17">
        <f>IF($S224="","",IFERROR(MATCH($S224,IMPOSTAZIONI!$F$5:$F$12,0),9)*100000000+(9999-MIN(9999,ROUND(N($O224)/100,0)))*10000+ROW())</f>
        <v/>
      </c>
    </row>
    <row r="225">
      <c r="A225" s="11" t="n"/>
      <c r="B225" s="12">
        <f>IF($S225="","",IFERROR(MATCH($S225,IMPOSTAZIONI!$F$5:$F$12,0),9)&amp;" · "&amp;$S225)</f>
        <v/>
      </c>
      <c r="C225" s="13" t="n"/>
      <c r="D225" s="14" t="n"/>
      <c r="E225" s="11" t="n"/>
      <c r="F225" s="15">
        <f>IF($A225="","",IF(LEN(IF(AND($C225&lt;&gt;"",$C225=TODAY())," · oggi in centro","")&amp;IF(AND($C225&lt;&gt;"",$C225&gt;=TODAY(),N($D225)+1&gt;=IMPOSTAZIONI!$C$5)," · ultima del ciclo, proponi il mantenimento","")&amp;IF(AND($C225&lt;&gt;"",$C225&gt;=TODAY(),$I225&lt;&gt;"",$C225-$I225&lt;IMPOSTAZIONI!$C$6)," · rientro anticipato, meno di "&amp;IMPOSTAZIONI!$C$6&amp;" giorni","")&amp;IF(AND($C225&lt;&gt;"",$C225&gt;=TODAY(),$I225&lt;&gt;"",$C225-$I225&gt;IMPOSTAZIONI!$C$7)," · rientro oltre "&amp;IMPOSTAZIONI!$C$7&amp;" giorni",""))=0,"",MID(IF(AND($C225&lt;&gt;"",$C225=TODAY())," · oggi in centro","")&amp;IF(AND($C225&lt;&gt;"",$C225&gt;=TODAY(),N($D225)+1&gt;=IMPOSTAZIONI!$C$5)," · ultima del ciclo, proponi il mantenimento","")&amp;IF(AND($C225&lt;&gt;"",$C225&gt;=TODAY(),$I225&lt;&gt;"",$C225-$I225&lt;IMPOSTAZIONI!$C$6)," · rientro anticipato, meno di "&amp;IMPOSTAZIONI!$C$6&amp;" giorni","")&amp;IF(AND($C225&lt;&gt;"",$C225&gt;=TODAY(),$I225&lt;&gt;"",$C225-$I225&gt;IMPOSTAZIONI!$C$7)," · rientro oltre "&amp;IMPOSTAZIONI!$C$7&amp;" giorni",""),4,300)))</f>
        <v/>
      </c>
      <c r="G225" s="16" t="n"/>
      <c r="H225" s="11" t="n"/>
      <c r="I225" s="13" t="n"/>
      <c r="J225" s="17">
        <f>IF($I225="","",TODAY()-$I225)</f>
        <v/>
      </c>
      <c r="K225" s="17">
        <f>IF($C225="","",$C225-TODAY())</f>
        <v/>
      </c>
      <c r="L225" s="15">
        <f>IF($A225="","",N($D225)&amp;"/"&amp;IMPOSTAZIONI!$C$5)</f>
        <v/>
      </c>
      <c r="M225" s="15">
        <f>IF($S225="","",IF($S225="RECUPERA CON INCENTIVO",INCENTIVI!$C$7,IF($S225="RICHIAMO MANTENIMENTO",INCENTIVI!$C$6,IF(OR($S225="FUORI FINESTRA",$S225="ULTIMA SEDUTA"),INCENTIVI!$C$5,""))))</f>
        <v/>
      </c>
      <c r="N225" s="18" t="n"/>
      <c r="O225" s="19">
        <f>IF($A225="","",N($D225)*N($N225))</f>
        <v/>
      </c>
      <c r="P225" s="19">
        <f>IF($A225="","",MAX(0,(IMPOSTAZIONI!$C$5-N($D225))*N($N225)))</f>
        <v/>
      </c>
      <c r="Q225" s="13" t="n"/>
      <c r="R225" s="11" t="n"/>
      <c r="S225" s="15">
        <f>IF($A225="","",IF(AND($C225&lt;&gt;"",$C225&lt;TODAY(),OR($I225="",$I225&lt;$C225)),"APPUNTAMENTO SALTATO",IF(AND($C225&lt;&gt;"",$C225-TODAY()=1),"CONFERMA DOMANI",IF(AND($C225&lt;&gt;"",$C225-TODAY()=IMPOSTAZIONI!$C$8),"CHIAMA PER CONFERMA",IF(AND($C225&lt;&gt;"",$C225&gt;=TODAY()),"",IF($E225="Sospesa","",IF($E225="Persa","RECUPERA CON INCENTIVO",IF(AND($I225&lt;&gt;"",TODAY()&gt;=EDATE($I225,IMPOSTAZIONI!$C$10)),"RECUPERA CON INCENTIVO",IF($E225="Mantenimento",IF(AND($I225&lt;&gt;"",TODAY()-$I225&gt;=IMPOSTAZIONI!$C$9),"RICHIAMO MANTENIMENTO",""),IF($E225="In ciclo",IF(N($D225)&gt;=IMPOSTAZIONI!$C$5,"ULTIMA SEDUTA",IF(AND($I225&lt;&gt;"",TODAY()-$I225&gt;IMPOSTAZIONI!$C$7),"FUORI FINESTRA","PRENDI APPUNTAMENTO")),IF($E225="Da contattare","PRENDI APPUNTAMENTO","")))))))))))</f>
        <v/>
      </c>
      <c r="T225" s="17">
        <f>IF($S225="","",IFERROR(MATCH($S225,IMPOSTAZIONI!$F$5:$F$12,0),9)*100000000+(9999-MIN(9999,ROUND(N($O225)/100,0)))*10000+ROW())</f>
        <v/>
      </c>
    </row>
    <row r="226">
      <c r="A226" s="11" t="n"/>
      <c r="B226" s="12">
        <f>IF($S226="","",IFERROR(MATCH($S226,IMPOSTAZIONI!$F$5:$F$12,0),9)&amp;" · "&amp;$S226)</f>
        <v/>
      </c>
      <c r="C226" s="13" t="n"/>
      <c r="D226" s="14" t="n"/>
      <c r="E226" s="11" t="n"/>
      <c r="F226" s="15">
        <f>IF($A226="","",IF(LEN(IF(AND($C226&lt;&gt;"",$C226=TODAY())," · oggi in centro","")&amp;IF(AND($C226&lt;&gt;"",$C226&gt;=TODAY(),N($D226)+1&gt;=IMPOSTAZIONI!$C$5)," · ultima del ciclo, proponi il mantenimento","")&amp;IF(AND($C226&lt;&gt;"",$C226&gt;=TODAY(),$I226&lt;&gt;"",$C226-$I226&lt;IMPOSTAZIONI!$C$6)," · rientro anticipato, meno di "&amp;IMPOSTAZIONI!$C$6&amp;" giorni","")&amp;IF(AND($C226&lt;&gt;"",$C226&gt;=TODAY(),$I226&lt;&gt;"",$C226-$I226&gt;IMPOSTAZIONI!$C$7)," · rientro oltre "&amp;IMPOSTAZIONI!$C$7&amp;" giorni",""))=0,"",MID(IF(AND($C226&lt;&gt;"",$C226=TODAY())," · oggi in centro","")&amp;IF(AND($C226&lt;&gt;"",$C226&gt;=TODAY(),N($D226)+1&gt;=IMPOSTAZIONI!$C$5)," · ultima del ciclo, proponi il mantenimento","")&amp;IF(AND($C226&lt;&gt;"",$C226&gt;=TODAY(),$I226&lt;&gt;"",$C226-$I226&lt;IMPOSTAZIONI!$C$6)," · rientro anticipato, meno di "&amp;IMPOSTAZIONI!$C$6&amp;" giorni","")&amp;IF(AND($C226&lt;&gt;"",$C226&gt;=TODAY(),$I226&lt;&gt;"",$C226-$I226&gt;IMPOSTAZIONI!$C$7)," · rientro oltre "&amp;IMPOSTAZIONI!$C$7&amp;" giorni",""),4,300)))</f>
        <v/>
      </c>
      <c r="G226" s="16" t="n"/>
      <c r="H226" s="11" t="n"/>
      <c r="I226" s="13" t="n"/>
      <c r="J226" s="17">
        <f>IF($I226="","",TODAY()-$I226)</f>
        <v/>
      </c>
      <c r="K226" s="17">
        <f>IF($C226="","",$C226-TODAY())</f>
        <v/>
      </c>
      <c r="L226" s="15">
        <f>IF($A226="","",N($D226)&amp;"/"&amp;IMPOSTAZIONI!$C$5)</f>
        <v/>
      </c>
      <c r="M226" s="15">
        <f>IF($S226="","",IF($S226="RECUPERA CON INCENTIVO",INCENTIVI!$C$7,IF($S226="RICHIAMO MANTENIMENTO",INCENTIVI!$C$6,IF(OR($S226="FUORI FINESTRA",$S226="ULTIMA SEDUTA"),INCENTIVI!$C$5,""))))</f>
        <v/>
      </c>
      <c r="N226" s="18" t="n"/>
      <c r="O226" s="19">
        <f>IF($A226="","",N($D226)*N($N226))</f>
        <v/>
      </c>
      <c r="P226" s="19">
        <f>IF($A226="","",MAX(0,(IMPOSTAZIONI!$C$5-N($D226))*N($N226)))</f>
        <v/>
      </c>
      <c r="Q226" s="13" t="n"/>
      <c r="R226" s="11" t="n"/>
      <c r="S226" s="15">
        <f>IF($A226="","",IF(AND($C226&lt;&gt;"",$C226&lt;TODAY(),OR($I226="",$I226&lt;$C226)),"APPUNTAMENTO SALTATO",IF(AND($C226&lt;&gt;"",$C226-TODAY()=1),"CONFERMA DOMANI",IF(AND($C226&lt;&gt;"",$C226-TODAY()=IMPOSTAZIONI!$C$8),"CHIAMA PER CONFERMA",IF(AND($C226&lt;&gt;"",$C226&gt;=TODAY()),"",IF($E226="Sospesa","",IF($E226="Persa","RECUPERA CON INCENTIVO",IF(AND($I226&lt;&gt;"",TODAY()&gt;=EDATE($I226,IMPOSTAZIONI!$C$10)),"RECUPERA CON INCENTIVO",IF($E226="Mantenimento",IF(AND($I226&lt;&gt;"",TODAY()-$I226&gt;=IMPOSTAZIONI!$C$9),"RICHIAMO MANTENIMENTO",""),IF($E226="In ciclo",IF(N($D226)&gt;=IMPOSTAZIONI!$C$5,"ULTIMA SEDUTA",IF(AND($I226&lt;&gt;"",TODAY()-$I226&gt;IMPOSTAZIONI!$C$7),"FUORI FINESTRA","PRENDI APPUNTAMENTO")),IF($E226="Da contattare","PRENDI APPUNTAMENTO","")))))))))))</f>
        <v/>
      </c>
      <c r="T226" s="17">
        <f>IF($S226="","",IFERROR(MATCH($S226,IMPOSTAZIONI!$F$5:$F$12,0),9)*100000000+(9999-MIN(9999,ROUND(N($O226)/100,0)))*10000+ROW())</f>
        <v/>
      </c>
    </row>
    <row r="227">
      <c r="A227" s="11" t="n"/>
      <c r="B227" s="12">
        <f>IF($S227="","",IFERROR(MATCH($S227,IMPOSTAZIONI!$F$5:$F$12,0),9)&amp;" · "&amp;$S227)</f>
        <v/>
      </c>
      <c r="C227" s="13" t="n"/>
      <c r="D227" s="14" t="n"/>
      <c r="E227" s="11" t="n"/>
      <c r="F227" s="15">
        <f>IF($A227="","",IF(LEN(IF(AND($C227&lt;&gt;"",$C227=TODAY())," · oggi in centro","")&amp;IF(AND($C227&lt;&gt;"",$C227&gt;=TODAY(),N($D227)+1&gt;=IMPOSTAZIONI!$C$5)," · ultima del ciclo, proponi il mantenimento","")&amp;IF(AND($C227&lt;&gt;"",$C227&gt;=TODAY(),$I227&lt;&gt;"",$C227-$I227&lt;IMPOSTAZIONI!$C$6)," · rientro anticipato, meno di "&amp;IMPOSTAZIONI!$C$6&amp;" giorni","")&amp;IF(AND($C227&lt;&gt;"",$C227&gt;=TODAY(),$I227&lt;&gt;"",$C227-$I227&gt;IMPOSTAZIONI!$C$7)," · rientro oltre "&amp;IMPOSTAZIONI!$C$7&amp;" giorni",""))=0,"",MID(IF(AND($C227&lt;&gt;"",$C227=TODAY())," · oggi in centro","")&amp;IF(AND($C227&lt;&gt;"",$C227&gt;=TODAY(),N($D227)+1&gt;=IMPOSTAZIONI!$C$5)," · ultima del ciclo, proponi il mantenimento","")&amp;IF(AND($C227&lt;&gt;"",$C227&gt;=TODAY(),$I227&lt;&gt;"",$C227-$I227&lt;IMPOSTAZIONI!$C$6)," · rientro anticipato, meno di "&amp;IMPOSTAZIONI!$C$6&amp;" giorni","")&amp;IF(AND($C227&lt;&gt;"",$C227&gt;=TODAY(),$I227&lt;&gt;"",$C227-$I227&gt;IMPOSTAZIONI!$C$7)," · rientro oltre "&amp;IMPOSTAZIONI!$C$7&amp;" giorni",""),4,300)))</f>
        <v/>
      </c>
      <c r="G227" s="16" t="n"/>
      <c r="H227" s="11" t="n"/>
      <c r="I227" s="13" t="n"/>
      <c r="J227" s="17">
        <f>IF($I227="","",TODAY()-$I227)</f>
        <v/>
      </c>
      <c r="K227" s="17">
        <f>IF($C227="","",$C227-TODAY())</f>
        <v/>
      </c>
      <c r="L227" s="15">
        <f>IF($A227="","",N($D227)&amp;"/"&amp;IMPOSTAZIONI!$C$5)</f>
        <v/>
      </c>
      <c r="M227" s="15">
        <f>IF($S227="","",IF($S227="RECUPERA CON INCENTIVO",INCENTIVI!$C$7,IF($S227="RICHIAMO MANTENIMENTO",INCENTIVI!$C$6,IF(OR($S227="FUORI FINESTRA",$S227="ULTIMA SEDUTA"),INCENTIVI!$C$5,""))))</f>
        <v/>
      </c>
      <c r="N227" s="18" t="n"/>
      <c r="O227" s="19">
        <f>IF($A227="","",N($D227)*N($N227))</f>
        <v/>
      </c>
      <c r="P227" s="19">
        <f>IF($A227="","",MAX(0,(IMPOSTAZIONI!$C$5-N($D227))*N($N227)))</f>
        <v/>
      </c>
      <c r="Q227" s="13" t="n"/>
      <c r="R227" s="11" t="n"/>
      <c r="S227" s="15">
        <f>IF($A227="","",IF(AND($C227&lt;&gt;"",$C227&lt;TODAY(),OR($I227="",$I227&lt;$C227)),"APPUNTAMENTO SALTATO",IF(AND($C227&lt;&gt;"",$C227-TODAY()=1),"CONFERMA DOMANI",IF(AND($C227&lt;&gt;"",$C227-TODAY()=IMPOSTAZIONI!$C$8),"CHIAMA PER CONFERMA",IF(AND($C227&lt;&gt;"",$C227&gt;=TODAY()),"",IF($E227="Sospesa","",IF($E227="Persa","RECUPERA CON INCENTIVO",IF(AND($I227&lt;&gt;"",TODAY()&gt;=EDATE($I227,IMPOSTAZIONI!$C$10)),"RECUPERA CON INCENTIVO",IF($E227="Mantenimento",IF(AND($I227&lt;&gt;"",TODAY()-$I227&gt;=IMPOSTAZIONI!$C$9),"RICHIAMO MANTENIMENTO",""),IF($E227="In ciclo",IF(N($D227)&gt;=IMPOSTAZIONI!$C$5,"ULTIMA SEDUTA",IF(AND($I227&lt;&gt;"",TODAY()-$I227&gt;IMPOSTAZIONI!$C$7),"FUORI FINESTRA","PRENDI APPUNTAMENTO")),IF($E227="Da contattare","PRENDI APPUNTAMENTO","")))))))))))</f>
        <v/>
      </c>
      <c r="T227" s="17">
        <f>IF($S227="","",IFERROR(MATCH($S227,IMPOSTAZIONI!$F$5:$F$12,0),9)*100000000+(9999-MIN(9999,ROUND(N($O227)/100,0)))*10000+ROW())</f>
        <v/>
      </c>
    </row>
    <row r="228">
      <c r="A228" s="11" t="n"/>
      <c r="B228" s="12">
        <f>IF($S228="","",IFERROR(MATCH($S228,IMPOSTAZIONI!$F$5:$F$12,0),9)&amp;" · "&amp;$S228)</f>
        <v/>
      </c>
      <c r="C228" s="13" t="n"/>
      <c r="D228" s="14" t="n"/>
      <c r="E228" s="11" t="n"/>
      <c r="F228" s="15">
        <f>IF($A228="","",IF(LEN(IF(AND($C228&lt;&gt;"",$C228=TODAY())," · oggi in centro","")&amp;IF(AND($C228&lt;&gt;"",$C228&gt;=TODAY(),N($D228)+1&gt;=IMPOSTAZIONI!$C$5)," · ultima del ciclo, proponi il mantenimento","")&amp;IF(AND($C228&lt;&gt;"",$C228&gt;=TODAY(),$I228&lt;&gt;"",$C228-$I228&lt;IMPOSTAZIONI!$C$6)," · rientro anticipato, meno di "&amp;IMPOSTAZIONI!$C$6&amp;" giorni","")&amp;IF(AND($C228&lt;&gt;"",$C228&gt;=TODAY(),$I228&lt;&gt;"",$C228-$I228&gt;IMPOSTAZIONI!$C$7)," · rientro oltre "&amp;IMPOSTAZIONI!$C$7&amp;" giorni",""))=0,"",MID(IF(AND($C228&lt;&gt;"",$C228=TODAY())," · oggi in centro","")&amp;IF(AND($C228&lt;&gt;"",$C228&gt;=TODAY(),N($D228)+1&gt;=IMPOSTAZIONI!$C$5)," · ultima del ciclo, proponi il mantenimento","")&amp;IF(AND($C228&lt;&gt;"",$C228&gt;=TODAY(),$I228&lt;&gt;"",$C228-$I228&lt;IMPOSTAZIONI!$C$6)," · rientro anticipato, meno di "&amp;IMPOSTAZIONI!$C$6&amp;" giorni","")&amp;IF(AND($C228&lt;&gt;"",$C228&gt;=TODAY(),$I228&lt;&gt;"",$C228-$I228&gt;IMPOSTAZIONI!$C$7)," · rientro oltre "&amp;IMPOSTAZIONI!$C$7&amp;" giorni",""),4,300)))</f>
        <v/>
      </c>
      <c r="G228" s="16" t="n"/>
      <c r="H228" s="11" t="n"/>
      <c r="I228" s="13" t="n"/>
      <c r="J228" s="17">
        <f>IF($I228="","",TODAY()-$I228)</f>
        <v/>
      </c>
      <c r="K228" s="17">
        <f>IF($C228="","",$C228-TODAY())</f>
        <v/>
      </c>
      <c r="L228" s="15">
        <f>IF($A228="","",N($D228)&amp;"/"&amp;IMPOSTAZIONI!$C$5)</f>
        <v/>
      </c>
      <c r="M228" s="15">
        <f>IF($S228="","",IF($S228="RECUPERA CON INCENTIVO",INCENTIVI!$C$7,IF($S228="RICHIAMO MANTENIMENTO",INCENTIVI!$C$6,IF(OR($S228="FUORI FINESTRA",$S228="ULTIMA SEDUTA"),INCENTIVI!$C$5,""))))</f>
        <v/>
      </c>
      <c r="N228" s="18" t="n"/>
      <c r="O228" s="19">
        <f>IF($A228="","",N($D228)*N($N228))</f>
        <v/>
      </c>
      <c r="P228" s="19">
        <f>IF($A228="","",MAX(0,(IMPOSTAZIONI!$C$5-N($D228))*N($N228)))</f>
        <v/>
      </c>
      <c r="Q228" s="13" t="n"/>
      <c r="R228" s="11" t="n"/>
      <c r="S228" s="15">
        <f>IF($A228="","",IF(AND($C228&lt;&gt;"",$C228&lt;TODAY(),OR($I228="",$I228&lt;$C228)),"APPUNTAMENTO SALTATO",IF(AND($C228&lt;&gt;"",$C228-TODAY()=1),"CONFERMA DOMANI",IF(AND($C228&lt;&gt;"",$C228-TODAY()=IMPOSTAZIONI!$C$8),"CHIAMA PER CONFERMA",IF(AND($C228&lt;&gt;"",$C228&gt;=TODAY()),"",IF($E228="Sospesa","",IF($E228="Persa","RECUPERA CON INCENTIVO",IF(AND($I228&lt;&gt;"",TODAY()&gt;=EDATE($I228,IMPOSTAZIONI!$C$10)),"RECUPERA CON INCENTIVO",IF($E228="Mantenimento",IF(AND($I228&lt;&gt;"",TODAY()-$I228&gt;=IMPOSTAZIONI!$C$9),"RICHIAMO MANTENIMENTO",""),IF($E228="In ciclo",IF(N($D228)&gt;=IMPOSTAZIONI!$C$5,"ULTIMA SEDUTA",IF(AND($I228&lt;&gt;"",TODAY()-$I228&gt;IMPOSTAZIONI!$C$7),"FUORI FINESTRA","PRENDI APPUNTAMENTO")),IF($E228="Da contattare","PRENDI APPUNTAMENTO","")))))))))))</f>
        <v/>
      </c>
      <c r="T228" s="17">
        <f>IF($S228="","",IFERROR(MATCH($S228,IMPOSTAZIONI!$F$5:$F$12,0),9)*100000000+(9999-MIN(9999,ROUND(N($O228)/100,0)))*10000+ROW())</f>
        <v/>
      </c>
    </row>
    <row r="229">
      <c r="A229" s="11" t="n"/>
      <c r="B229" s="12">
        <f>IF($S229="","",IFERROR(MATCH($S229,IMPOSTAZIONI!$F$5:$F$12,0),9)&amp;" · "&amp;$S229)</f>
        <v/>
      </c>
      <c r="C229" s="13" t="n"/>
      <c r="D229" s="14" t="n"/>
      <c r="E229" s="11" t="n"/>
      <c r="F229" s="15">
        <f>IF($A229="","",IF(LEN(IF(AND($C229&lt;&gt;"",$C229=TODAY())," · oggi in centro","")&amp;IF(AND($C229&lt;&gt;"",$C229&gt;=TODAY(),N($D229)+1&gt;=IMPOSTAZIONI!$C$5)," · ultima del ciclo, proponi il mantenimento","")&amp;IF(AND($C229&lt;&gt;"",$C229&gt;=TODAY(),$I229&lt;&gt;"",$C229-$I229&lt;IMPOSTAZIONI!$C$6)," · rientro anticipato, meno di "&amp;IMPOSTAZIONI!$C$6&amp;" giorni","")&amp;IF(AND($C229&lt;&gt;"",$C229&gt;=TODAY(),$I229&lt;&gt;"",$C229-$I229&gt;IMPOSTAZIONI!$C$7)," · rientro oltre "&amp;IMPOSTAZIONI!$C$7&amp;" giorni",""))=0,"",MID(IF(AND($C229&lt;&gt;"",$C229=TODAY())," · oggi in centro","")&amp;IF(AND($C229&lt;&gt;"",$C229&gt;=TODAY(),N($D229)+1&gt;=IMPOSTAZIONI!$C$5)," · ultima del ciclo, proponi il mantenimento","")&amp;IF(AND($C229&lt;&gt;"",$C229&gt;=TODAY(),$I229&lt;&gt;"",$C229-$I229&lt;IMPOSTAZIONI!$C$6)," · rientro anticipato, meno di "&amp;IMPOSTAZIONI!$C$6&amp;" giorni","")&amp;IF(AND($C229&lt;&gt;"",$C229&gt;=TODAY(),$I229&lt;&gt;"",$C229-$I229&gt;IMPOSTAZIONI!$C$7)," · rientro oltre "&amp;IMPOSTAZIONI!$C$7&amp;" giorni",""),4,300)))</f>
        <v/>
      </c>
      <c r="G229" s="16" t="n"/>
      <c r="H229" s="11" t="n"/>
      <c r="I229" s="13" t="n"/>
      <c r="J229" s="17">
        <f>IF($I229="","",TODAY()-$I229)</f>
        <v/>
      </c>
      <c r="K229" s="17">
        <f>IF($C229="","",$C229-TODAY())</f>
        <v/>
      </c>
      <c r="L229" s="15">
        <f>IF($A229="","",N($D229)&amp;"/"&amp;IMPOSTAZIONI!$C$5)</f>
        <v/>
      </c>
      <c r="M229" s="15">
        <f>IF($S229="","",IF($S229="RECUPERA CON INCENTIVO",INCENTIVI!$C$7,IF($S229="RICHIAMO MANTENIMENTO",INCENTIVI!$C$6,IF(OR($S229="FUORI FINESTRA",$S229="ULTIMA SEDUTA"),INCENTIVI!$C$5,""))))</f>
        <v/>
      </c>
      <c r="N229" s="18" t="n"/>
      <c r="O229" s="19">
        <f>IF($A229="","",N($D229)*N($N229))</f>
        <v/>
      </c>
      <c r="P229" s="19">
        <f>IF($A229="","",MAX(0,(IMPOSTAZIONI!$C$5-N($D229))*N($N229)))</f>
        <v/>
      </c>
      <c r="Q229" s="13" t="n"/>
      <c r="R229" s="11" t="n"/>
      <c r="S229" s="15">
        <f>IF($A229="","",IF(AND($C229&lt;&gt;"",$C229&lt;TODAY(),OR($I229="",$I229&lt;$C229)),"APPUNTAMENTO SALTATO",IF(AND($C229&lt;&gt;"",$C229-TODAY()=1),"CONFERMA DOMANI",IF(AND($C229&lt;&gt;"",$C229-TODAY()=IMPOSTAZIONI!$C$8),"CHIAMA PER CONFERMA",IF(AND($C229&lt;&gt;"",$C229&gt;=TODAY()),"",IF($E229="Sospesa","",IF($E229="Persa","RECUPERA CON INCENTIVO",IF(AND($I229&lt;&gt;"",TODAY()&gt;=EDATE($I229,IMPOSTAZIONI!$C$10)),"RECUPERA CON INCENTIVO",IF($E229="Mantenimento",IF(AND($I229&lt;&gt;"",TODAY()-$I229&gt;=IMPOSTAZIONI!$C$9),"RICHIAMO MANTENIMENTO",""),IF($E229="In ciclo",IF(N($D229)&gt;=IMPOSTAZIONI!$C$5,"ULTIMA SEDUTA",IF(AND($I229&lt;&gt;"",TODAY()-$I229&gt;IMPOSTAZIONI!$C$7),"FUORI FINESTRA","PRENDI APPUNTAMENTO")),IF($E229="Da contattare","PRENDI APPUNTAMENTO","")))))))))))</f>
        <v/>
      </c>
      <c r="T229" s="17">
        <f>IF($S229="","",IFERROR(MATCH($S229,IMPOSTAZIONI!$F$5:$F$12,0),9)*100000000+(9999-MIN(9999,ROUND(N($O229)/100,0)))*10000+ROW())</f>
        <v/>
      </c>
    </row>
    <row r="230">
      <c r="A230" s="11" t="n"/>
      <c r="B230" s="12">
        <f>IF($S230="","",IFERROR(MATCH($S230,IMPOSTAZIONI!$F$5:$F$12,0),9)&amp;" · "&amp;$S230)</f>
        <v/>
      </c>
      <c r="C230" s="13" t="n"/>
      <c r="D230" s="14" t="n"/>
      <c r="E230" s="11" t="n"/>
      <c r="F230" s="15">
        <f>IF($A230="","",IF(LEN(IF(AND($C230&lt;&gt;"",$C230=TODAY())," · oggi in centro","")&amp;IF(AND($C230&lt;&gt;"",$C230&gt;=TODAY(),N($D230)+1&gt;=IMPOSTAZIONI!$C$5)," · ultima del ciclo, proponi il mantenimento","")&amp;IF(AND($C230&lt;&gt;"",$C230&gt;=TODAY(),$I230&lt;&gt;"",$C230-$I230&lt;IMPOSTAZIONI!$C$6)," · rientro anticipato, meno di "&amp;IMPOSTAZIONI!$C$6&amp;" giorni","")&amp;IF(AND($C230&lt;&gt;"",$C230&gt;=TODAY(),$I230&lt;&gt;"",$C230-$I230&gt;IMPOSTAZIONI!$C$7)," · rientro oltre "&amp;IMPOSTAZIONI!$C$7&amp;" giorni",""))=0,"",MID(IF(AND($C230&lt;&gt;"",$C230=TODAY())," · oggi in centro","")&amp;IF(AND($C230&lt;&gt;"",$C230&gt;=TODAY(),N($D230)+1&gt;=IMPOSTAZIONI!$C$5)," · ultima del ciclo, proponi il mantenimento","")&amp;IF(AND($C230&lt;&gt;"",$C230&gt;=TODAY(),$I230&lt;&gt;"",$C230-$I230&lt;IMPOSTAZIONI!$C$6)," · rientro anticipato, meno di "&amp;IMPOSTAZIONI!$C$6&amp;" giorni","")&amp;IF(AND($C230&lt;&gt;"",$C230&gt;=TODAY(),$I230&lt;&gt;"",$C230-$I230&gt;IMPOSTAZIONI!$C$7)," · rientro oltre "&amp;IMPOSTAZIONI!$C$7&amp;" giorni",""),4,300)))</f>
        <v/>
      </c>
      <c r="G230" s="16" t="n"/>
      <c r="H230" s="11" t="n"/>
      <c r="I230" s="13" t="n"/>
      <c r="J230" s="17">
        <f>IF($I230="","",TODAY()-$I230)</f>
        <v/>
      </c>
      <c r="K230" s="17">
        <f>IF($C230="","",$C230-TODAY())</f>
        <v/>
      </c>
      <c r="L230" s="15">
        <f>IF($A230="","",N($D230)&amp;"/"&amp;IMPOSTAZIONI!$C$5)</f>
        <v/>
      </c>
      <c r="M230" s="15">
        <f>IF($S230="","",IF($S230="RECUPERA CON INCENTIVO",INCENTIVI!$C$7,IF($S230="RICHIAMO MANTENIMENTO",INCENTIVI!$C$6,IF(OR($S230="FUORI FINESTRA",$S230="ULTIMA SEDUTA"),INCENTIVI!$C$5,""))))</f>
        <v/>
      </c>
      <c r="N230" s="18" t="n"/>
      <c r="O230" s="19">
        <f>IF($A230="","",N($D230)*N($N230))</f>
        <v/>
      </c>
      <c r="P230" s="19">
        <f>IF($A230="","",MAX(0,(IMPOSTAZIONI!$C$5-N($D230))*N($N230)))</f>
        <v/>
      </c>
      <c r="Q230" s="13" t="n"/>
      <c r="R230" s="11" t="n"/>
      <c r="S230" s="15">
        <f>IF($A230="","",IF(AND($C230&lt;&gt;"",$C230&lt;TODAY(),OR($I230="",$I230&lt;$C230)),"APPUNTAMENTO SALTATO",IF(AND($C230&lt;&gt;"",$C230-TODAY()=1),"CONFERMA DOMANI",IF(AND($C230&lt;&gt;"",$C230-TODAY()=IMPOSTAZIONI!$C$8),"CHIAMA PER CONFERMA",IF(AND($C230&lt;&gt;"",$C230&gt;=TODAY()),"",IF($E230="Sospesa","",IF($E230="Persa","RECUPERA CON INCENTIVO",IF(AND($I230&lt;&gt;"",TODAY()&gt;=EDATE($I230,IMPOSTAZIONI!$C$10)),"RECUPERA CON INCENTIVO",IF($E230="Mantenimento",IF(AND($I230&lt;&gt;"",TODAY()-$I230&gt;=IMPOSTAZIONI!$C$9),"RICHIAMO MANTENIMENTO",""),IF($E230="In ciclo",IF(N($D230)&gt;=IMPOSTAZIONI!$C$5,"ULTIMA SEDUTA",IF(AND($I230&lt;&gt;"",TODAY()-$I230&gt;IMPOSTAZIONI!$C$7),"FUORI FINESTRA","PRENDI APPUNTAMENTO")),IF($E230="Da contattare","PRENDI APPUNTAMENTO","")))))))))))</f>
        <v/>
      </c>
      <c r="T230" s="17">
        <f>IF($S230="","",IFERROR(MATCH($S230,IMPOSTAZIONI!$F$5:$F$12,0),9)*100000000+(9999-MIN(9999,ROUND(N($O230)/100,0)))*10000+ROW())</f>
        <v/>
      </c>
    </row>
    <row r="231">
      <c r="A231" s="11" t="n"/>
      <c r="B231" s="12">
        <f>IF($S231="","",IFERROR(MATCH($S231,IMPOSTAZIONI!$F$5:$F$12,0),9)&amp;" · "&amp;$S231)</f>
        <v/>
      </c>
      <c r="C231" s="13" t="n"/>
      <c r="D231" s="14" t="n"/>
      <c r="E231" s="11" t="n"/>
      <c r="F231" s="15">
        <f>IF($A231="","",IF(LEN(IF(AND($C231&lt;&gt;"",$C231=TODAY())," · oggi in centro","")&amp;IF(AND($C231&lt;&gt;"",$C231&gt;=TODAY(),N($D231)+1&gt;=IMPOSTAZIONI!$C$5)," · ultima del ciclo, proponi il mantenimento","")&amp;IF(AND($C231&lt;&gt;"",$C231&gt;=TODAY(),$I231&lt;&gt;"",$C231-$I231&lt;IMPOSTAZIONI!$C$6)," · rientro anticipato, meno di "&amp;IMPOSTAZIONI!$C$6&amp;" giorni","")&amp;IF(AND($C231&lt;&gt;"",$C231&gt;=TODAY(),$I231&lt;&gt;"",$C231-$I231&gt;IMPOSTAZIONI!$C$7)," · rientro oltre "&amp;IMPOSTAZIONI!$C$7&amp;" giorni",""))=0,"",MID(IF(AND($C231&lt;&gt;"",$C231=TODAY())," · oggi in centro","")&amp;IF(AND($C231&lt;&gt;"",$C231&gt;=TODAY(),N($D231)+1&gt;=IMPOSTAZIONI!$C$5)," · ultima del ciclo, proponi il mantenimento","")&amp;IF(AND($C231&lt;&gt;"",$C231&gt;=TODAY(),$I231&lt;&gt;"",$C231-$I231&lt;IMPOSTAZIONI!$C$6)," · rientro anticipato, meno di "&amp;IMPOSTAZIONI!$C$6&amp;" giorni","")&amp;IF(AND($C231&lt;&gt;"",$C231&gt;=TODAY(),$I231&lt;&gt;"",$C231-$I231&gt;IMPOSTAZIONI!$C$7)," · rientro oltre "&amp;IMPOSTAZIONI!$C$7&amp;" giorni",""),4,300)))</f>
        <v/>
      </c>
      <c r="G231" s="16" t="n"/>
      <c r="H231" s="11" t="n"/>
      <c r="I231" s="13" t="n"/>
      <c r="J231" s="17">
        <f>IF($I231="","",TODAY()-$I231)</f>
        <v/>
      </c>
      <c r="K231" s="17">
        <f>IF($C231="","",$C231-TODAY())</f>
        <v/>
      </c>
      <c r="L231" s="15">
        <f>IF($A231="","",N($D231)&amp;"/"&amp;IMPOSTAZIONI!$C$5)</f>
        <v/>
      </c>
      <c r="M231" s="15">
        <f>IF($S231="","",IF($S231="RECUPERA CON INCENTIVO",INCENTIVI!$C$7,IF($S231="RICHIAMO MANTENIMENTO",INCENTIVI!$C$6,IF(OR($S231="FUORI FINESTRA",$S231="ULTIMA SEDUTA"),INCENTIVI!$C$5,""))))</f>
        <v/>
      </c>
      <c r="N231" s="18" t="n"/>
      <c r="O231" s="19">
        <f>IF($A231="","",N($D231)*N($N231))</f>
        <v/>
      </c>
      <c r="P231" s="19">
        <f>IF($A231="","",MAX(0,(IMPOSTAZIONI!$C$5-N($D231))*N($N231)))</f>
        <v/>
      </c>
      <c r="Q231" s="13" t="n"/>
      <c r="R231" s="11" t="n"/>
      <c r="S231" s="15">
        <f>IF($A231="","",IF(AND($C231&lt;&gt;"",$C231&lt;TODAY(),OR($I231="",$I231&lt;$C231)),"APPUNTAMENTO SALTATO",IF(AND($C231&lt;&gt;"",$C231-TODAY()=1),"CONFERMA DOMANI",IF(AND($C231&lt;&gt;"",$C231-TODAY()=IMPOSTAZIONI!$C$8),"CHIAMA PER CONFERMA",IF(AND($C231&lt;&gt;"",$C231&gt;=TODAY()),"",IF($E231="Sospesa","",IF($E231="Persa","RECUPERA CON INCENTIVO",IF(AND($I231&lt;&gt;"",TODAY()&gt;=EDATE($I231,IMPOSTAZIONI!$C$10)),"RECUPERA CON INCENTIVO",IF($E231="Mantenimento",IF(AND($I231&lt;&gt;"",TODAY()-$I231&gt;=IMPOSTAZIONI!$C$9),"RICHIAMO MANTENIMENTO",""),IF($E231="In ciclo",IF(N($D231)&gt;=IMPOSTAZIONI!$C$5,"ULTIMA SEDUTA",IF(AND($I231&lt;&gt;"",TODAY()-$I231&gt;IMPOSTAZIONI!$C$7),"FUORI FINESTRA","PRENDI APPUNTAMENTO")),IF($E231="Da contattare","PRENDI APPUNTAMENTO","")))))))))))</f>
        <v/>
      </c>
      <c r="T231" s="17">
        <f>IF($S231="","",IFERROR(MATCH($S231,IMPOSTAZIONI!$F$5:$F$12,0),9)*100000000+(9999-MIN(9999,ROUND(N($O231)/100,0)))*10000+ROW())</f>
        <v/>
      </c>
    </row>
    <row r="232">
      <c r="A232" s="11" t="n"/>
      <c r="B232" s="12">
        <f>IF($S232="","",IFERROR(MATCH($S232,IMPOSTAZIONI!$F$5:$F$12,0),9)&amp;" · "&amp;$S232)</f>
        <v/>
      </c>
      <c r="C232" s="13" t="n"/>
      <c r="D232" s="14" t="n"/>
      <c r="E232" s="11" t="n"/>
      <c r="F232" s="15">
        <f>IF($A232="","",IF(LEN(IF(AND($C232&lt;&gt;"",$C232=TODAY())," · oggi in centro","")&amp;IF(AND($C232&lt;&gt;"",$C232&gt;=TODAY(),N($D232)+1&gt;=IMPOSTAZIONI!$C$5)," · ultima del ciclo, proponi il mantenimento","")&amp;IF(AND($C232&lt;&gt;"",$C232&gt;=TODAY(),$I232&lt;&gt;"",$C232-$I232&lt;IMPOSTAZIONI!$C$6)," · rientro anticipato, meno di "&amp;IMPOSTAZIONI!$C$6&amp;" giorni","")&amp;IF(AND($C232&lt;&gt;"",$C232&gt;=TODAY(),$I232&lt;&gt;"",$C232-$I232&gt;IMPOSTAZIONI!$C$7)," · rientro oltre "&amp;IMPOSTAZIONI!$C$7&amp;" giorni",""))=0,"",MID(IF(AND($C232&lt;&gt;"",$C232=TODAY())," · oggi in centro","")&amp;IF(AND($C232&lt;&gt;"",$C232&gt;=TODAY(),N($D232)+1&gt;=IMPOSTAZIONI!$C$5)," · ultima del ciclo, proponi il mantenimento","")&amp;IF(AND($C232&lt;&gt;"",$C232&gt;=TODAY(),$I232&lt;&gt;"",$C232-$I232&lt;IMPOSTAZIONI!$C$6)," · rientro anticipato, meno di "&amp;IMPOSTAZIONI!$C$6&amp;" giorni","")&amp;IF(AND($C232&lt;&gt;"",$C232&gt;=TODAY(),$I232&lt;&gt;"",$C232-$I232&gt;IMPOSTAZIONI!$C$7)," · rientro oltre "&amp;IMPOSTAZIONI!$C$7&amp;" giorni",""),4,300)))</f>
        <v/>
      </c>
      <c r="G232" s="16" t="n"/>
      <c r="H232" s="11" t="n"/>
      <c r="I232" s="13" t="n"/>
      <c r="J232" s="17">
        <f>IF($I232="","",TODAY()-$I232)</f>
        <v/>
      </c>
      <c r="K232" s="17">
        <f>IF($C232="","",$C232-TODAY())</f>
        <v/>
      </c>
      <c r="L232" s="15">
        <f>IF($A232="","",N($D232)&amp;"/"&amp;IMPOSTAZIONI!$C$5)</f>
        <v/>
      </c>
      <c r="M232" s="15">
        <f>IF($S232="","",IF($S232="RECUPERA CON INCENTIVO",INCENTIVI!$C$7,IF($S232="RICHIAMO MANTENIMENTO",INCENTIVI!$C$6,IF(OR($S232="FUORI FINESTRA",$S232="ULTIMA SEDUTA"),INCENTIVI!$C$5,""))))</f>
        <v/>
      </c>
      <c r="N232" s="18" t="n"/>
      <c r="O232" s="19">
        <f>IF($A232="","",N($D232)*N($N232))</f>
        <v/>
      </c>
      <c r="P232" s="19">
        <f>IF($A232="","",MAX(0,(IMPOSTAZIONI!$C$5-N($D232))*N($N232)))</f>
        <v/>
      </c>
      <c r="Q232" s="13" t="n"/>
      <c r="R232" s="11" t="n"/>
      <c r="S232" s="15">
        <f>IF($A232="","",IF(AND($C232&lt;&gt;"",$C232&lt;TODAY(),OR($I232="",$I232&lt;$C232)),"APPUNTAMENTO SALTATO",IF(AND($C232&lt;&gt;"",$C232-TODAY()=1),"CONFERMA DOMANI",IF(AND($C232&lt;&gt;"",$C232-TODAY()=IMPOSTAZIONI!$C$8),"CHIAMA PER CONFERMA",IF(AND($C232&lt;&gt;"",$C232&gt;=TODAY()),"",IF($E232="Sospesa","",IF($E232="Persa","RECUPERA CON INCENTIVO",IF(AND($I232&lt;&gt;"",TODAY()&gt;=EDATE($I232,IMPOSTAZIONI!$C$10)),"RECUPERA CON INCENTIVO",IF($E232="Mantenimento",IF(AND($I232&lt;&gt;"",TODAY()-$I232&gt;=IMPOSTAZIONI!$C$9),"RICHIAMO MANTENIMENTO",""),IF($E232="In ciclo",IF(N($D232)&gt;=IMPOSTAZIONI!$C$5,"ULTIMA SEDUTA",IF(AND($I232&lt;&gt;"",TODAY()-$I232&gt;IMPOSTAZIONI!$C$7),"FUORI FINESTRA","PRENDI APPUNTAMENTO")),IF($E232="Da contattare","PRENDI APPUNTAMENTO","")))))))))))</f>
        <v/>
      </c>
      <c r="T232" s="17">
        <f>IF($S232="","",IFERROR(MATCH($S232,IMPOSTAZIONI!$F$5:$F$12,0),9)*100000000+(9999-MIN(9999,ROUND(N($O232)/100,0)))*10000+ROW())</f>
        <v/>
      </c>
    </row>
    <row r="233">
      <c r="A233" s="11" t="n"/>
      <c r="B233" s="12">
        <f>IF($S233="","",IFERROR(MATCH($S233,IMPOSTAZIONI!$F$5:$F$12,0),9)&amp;" · "&amp;$S233)</f>
        <v/>
      </c>
      <c r="C233" s="13" t="n"/>
      <c r="D233" s="14" t="n"/>
      <c r="E233" s="11" t="n"/>
      <c r="F233" s="15">
        <f>IF($A233="","",IF(LEN(IF(AND($C233&lt;&gt;"",$C233=TODAY())," · oggi in centro","")&amp;IF(AND($C233&lt;&gt;"",$C233&gt;=TODAY(),N($D233)+1&gt;=IMPOSTAZIONI!$C$5)," · ultima del ciclo, proponi il mantenimento","")&amp;IF(AND($C233&lt;&gt;"",$C233&gt;=TODAY(),$I233&lt;&gt;"",$C233-$I233&lt;IMPOSTAZIONI!$C$6)," · rientro anticipato, meno di "&amp;IMPOSTAZIONI!$C$6&amp;" giorni","")&amp;IF(AND($C233&lt;&gt;"",$C233&gt;=TODAY(),$I233&lt;&gt;"",$C233-$I233&gt;IMPOSTAZIONI!$C$7)," · rientro oltre "&amp;IMPOSTAZIONI!$C$7&amp;" giorni",""))=0,"",MID(IF(AND($C233&lt;&gt;"",$C233=TODAY())," · oggi in centro","")&amp;IF(AND($C233&lt;&gt;"",$C233&gt;=TODAY(),N($D233)+1&gt;=IMPOSTAZIONI!$C$5)," · ultima del ciclo, proponi il mantenimento","")&amp;IF(AND($C233&lt;&gt;"",$C233&gt;=TODAY(),$I233&lt;&gt;"",$C233-$I233&lt;IMPOSTAZIONI!$C$6)," · rientro anticipato, meno di "&amp;IMPOSTAZIONI!$C$6&amp;" giorni","")&amp;IF(AND($C233&lt;&gt;"",$C233&gt;=TODAY(),$I233&lt;&gt;"",$C233-$I233&gt;IMPOSTAZIONI!$C$7)," · rientro oltre "&amp;IMPOSTAZIONI!$C$7&amp;" giorni",""),4,300)))</f>
        <v/>
      </c>
      <c r="G233" s="16" t="n"/>
      <c r="H233" s="11" t="n"/>
      <c r="I233" s="13" t="n"/>
      <c r="J233" s="17">
        <f>IF($I233="","",TODAY()-$I233)</f>
        <v/>
      </c>
      <c r="K233" s="17">
        <f>IF($C233="","",$C233-TODAY())</f>
        <v/>
      </c>
      <c r="L233" s="15">
        <f>IF($A233="","",N($D233)&amp;"/"&amp;IMPOSTAZIONI!$C$5)</f>
        <v/>
      </c>
      <c r="M233" s="15">
        <f>IF($S233="","",IF($S233="RECUPERA CON INCENTIVO",INCENTIVI!$C$7,IF($S233="RICHIAMO MANTENIMENTO",INCENTIVI!$C$6,IF(OR($S233="FUORI FINESTRA",$S233="ULTIMA SEDUTA"),INCENTIVI!$C$5,""))))</f>
        <v/>
      </c>
      <c r="N233" s="18" t="n"/>
      <c r="O233" s="19">
        <f>IF($A233="","",N($D233)*N($N233))</f>
        <v/>
      </c>
      <c r="P233" s="19">
        <f>IF($A233="","",MAX(0,(IMPOSTAZIONI!$C$5-N($D233))*N($N233)))</f>
        <v/>
      </c>
      <c r="Q233" s="13" t="n"/>
      <c r="R233" s="11" t="n"/>
      <c r="S233" s="15">
        <f>IF($A233="","",IF(AND($C233&lt;&gt;"",$C233&lt;TODAY(),OR($I233="",$I233&lt;$C233)),"APPUNTAMENTO SALTATO",IF(AND($C233&lt;&gt;"",$C233-TODAY()=1),"CONFERMA DOMANI",IF(AND($C233&lt;&gt;"",$C233-TODAY()=IMPOSTAZIONI!$C$8),"CHIAMA PER CONFERMA",IF(AND($C233&lt;&gt;"",$C233&gt;=TODAY()),"",IF($E233="Sospesa","",IF($E233="Persa","RECUPERA CON INCENTIVO",IF(AND($I233&lt;&gt;"",TODAY()&gt;=EDATE($I233,IMPOSTAZIONI!$C$10)),"RECUPERA CON INCENTIVO",IF($E233="Mantenimento",IF(AND($I233&lt;&gt;"",TODAY()-$I233&gt;=IMPOSTAZIONI!$C$9),"RICHIAMO MANTENIMENTO",""),IF($E233="In ciclo",IF(N($D233)&gt;=IMPOSTAZIONI!$C$5,"ULTIMA SEDUTA",IF(AND($I233&lt;&gt;"",TODAY()-$I233&gt;IMPOSTAZIONI!$C$7),"FUORI FINESTRA","PRENDI APPUNTAMENTO")),IF($E233="Da contattare","PRENDI APPUNTAMENTO","")))))))))))</f>
        <v/>
      </c>
      <c r="T233" s="17">
        <f>IF($S233="","",IFERROR(MATCH($S233,IMPOSTAZIONI!$F$5:$F$12,0),9)*100000000+(9999-MIN(9999,ROUND(N($O233)/100,0)))*10000+ROW())</f>
        <v/>
      </c>
    </row>
    <row r="234">
      <c r="A234" s="11" t="n"/>
      <c r="B234" s="12">
        <f>IF($S234="","",IFERROR(MATCH($S234,IMPOSTAZIONI!$F$5:$F$12,0),9)&amp;" · "&amp;$S234)</f>
        <v/>
      </c>
      <c r="C234" s="13" t="n"/>
      <c r="D234" s="14" t="n"/>
      <c r="E234" s="11" t="n"/>
      <c r="F234" s="15">
        <f>IF($A234="","",IF(LEN(IF(AND($C234&lt;&gt;"",$C234=TODAY())," · oggi in centro","")&amp;IF(AND($C234&lt;&gt;"",$C234&gt;=TODAY(),N($D234)+1&gt;=IMPOSTAZIONI!$C$5)," · ultima del ciclo, proponi il mantenimento","")&amp;IF(AND($C234&lt;&gt;"",$C234&gt;=TODAY(),$I234&lt;&gt;"",$C234-$I234&lt;IMPOSTAZIONI!$C$6)," · rientro anticipato, meno di "&amp;IMPOSTAZIONI!$C$6&amp;" giorni","")&amp;IF(AND($C234&lt;&gt;"",$C234&gt;=TODAY(),$I234&lt;&gt;"",$C234-$I234&gt;IMPOSTAZIONI!$C$7)," · rientro oltre "&amp;IMPOSTAZIONI!$C$7&amp;" giorni",""))=0,"",MID(IF(AND($C234&lt;&gt;"",$C234=TODAY())," · oggi in centro","")&amp;IF(AND($C234&lt;&gt;"",$C234&gt;=TODAY(),N($D234)+1&gt;=IMPOSTAZIONI!$C$5)," · ultima del ciclo, proponi il mantenimento","")&amp;IF(AND($C234&lt;&gt;"",$C234&gt;=TODAY(),$I234&lt;&gt;"",$C234-$I234&lt;IMPOSTAZIONI!$C$6)," · rientro anticipato, meno di "&amp;IMPOSTAZIONI!$C$6&amp;" giorni","")&amp;IF(AND($C234&lt;&gt;"",$C234&gt;=TODAY(),$I234&lt;&gt;"",$C234-$I234&gt;IMPOSTAZIONI!$C$7)," · rientro oltre "&amp;IMPOSTAZIONI!$C$7&amp;" giorni",""),4,300)))</f>
        <v/>
      </c>
      <c r="G234" s="16" t="n"/>
      <c r="H234" s="11" t="n"/>
      <c r="I234" s="13" t="n"/>
      <c r="J234" s="17">
        <f>IF($I234="","",TODAY()-$I234)</f>
        <v/>
      </c>
      <c r="K234" s="17">
        <f>IF($C234="","",$C234-TODAY())</f>
        <v/>
      </c>
      <c r="L234" s="15">
        <f>IF($A234="","",N($D234)&amp;"/"&amp;IMPOSTAZIONI!$C$5)</f>
        <v/>
      </c>
      <c r="M234" s="15">
        <f>IF($S234="","",IF($S234="RECUPERA CON INCENTIVO",INCENTIVI!$C$7,IF($S234="RICHIAMO MANTENIMENTO",INCENTIVI!$C$6,IF(OR($S234="FUORI FINESTRA",$S234="ULTIMA SEDUTA"),INCENTIVI!$C$5,""))))</f>
        <v/>
      </c>
      <c r="N234" s="18" t="n"/>
      <c r="O234" s="19">
        <f>IF($A234="","",N($D234)*N($N234))</f>
        <v/>
      </c>
      <c r="P234" s="19">
        <f>IF($A234="","",MAX(0,(IMPOSTAZIONI!$C$5-N($D234))*N($N234)))</f>
        <v/>
      </c>
      <c r="Q234" s="13" t="n"/>
      <c r="R234" s="11" t="n"/>
      <c r="S234" s="15">
        <f>IF($A234="","",IF(AND($C234&lt;&gt;"",$C234&lt;TODAY(),OR($I234="",$I234&lt;$C234)),"APPUNTAMENTO SALTATO",IF(AND($C234&lt;&gt;"",$C234-TODAY()=1),"CONFERMA DOMANI",IF(AND($C234&lt;&gt;"",$C234-TODAY()=IMPOSTAZIONI!$C$8),"CHIAMA PER CONFERMA",IF(AND($C234&lt;&gt;"",$C234&gt;=TODAY()),"",IF($E234="Sospesa","",IF($E234="Persa","RECUPERA CON INCENTIVO",IF(AND($I234&lt;&gt;"",TODAY()&gt;=EDATE($I234,IMPOSTAZIONI!$C$10)),"RECUPERA CON INCENTIVO",IF($E234="Mantenimento",IF(AND($I234&lt;&gt;"",TODAY()-$I234&gt;=IMPOSTAZIONI!$C$9),"RICHIAMO MANTENIMENTO",""),IF($E234="In ciclo",IF(N($D234)&gt;=IMPOSTAZIONI!$C$5,"ULTIMA SEDUTA",IF(AND($I234&lt;&gt;"",TODAY()-$I234&gt;IMPOSTAZIONI!$C$7),"FUORI FINESTRA","PRENDI APPUNTAMENTO")),IF($E234="Da contattare","PRENDI APPUNTAMENTO","")))))))))))</f>
        <v/>
      </c>
      <c r="T234" s="17">
        <f>IF($S234="","",IFERROR(MATCH($S234,IMPOSTAZIONI!$F$5:$F$12,0),9)*100000000+(9999-MIN(9999,ROUND(N($O234)/100,0)))*10000+ROW())</f>
        <v/>
      </c>
    </row>
    <row r="235">
      <c r="A235" s="11" t="n"/>
      <c r="B235" s="12">
        <f>IF($S235="","",IFERROR(MATCH($S235,IMPOSTAZIONI!$F$5:$F$12,0),9)&amp;" · "&amp;$S235)</f>
        <v/>
      </c>
      <c r="C235" s="13" t="n"/>
      <c r="D235" s="14" t="n"/>
      <c r="E235" s="11" t="n"/>
      <c r="F235" s="15">
        <f>IF($A235="","",IF(LEN(IF(AND($C235&lt;&gt;"",$C235=TODAY())," · oggi in centro","")&amp;IF(AND($C235&lt;&gt;"",$C235&gt;=TODAY(),N($D235)+1&gt;=IMPOSTAZIONI!$C$5)," · ultima del ciclo, proponi il mantenimento","")&amp;IF(AND($C235&lt;&gt;"",$C235&gt;=TODAY(),$I235&lt;&gt;"",$C235-$I235&lt;IMPOSTAZIONI!$C$6)," · rientro anticipato, meno di "&amp;IMPOSTAZIONI!$C$6&amp;" giorni","")&amp;IF(AND($C235&lt;&gt;"",$C235&gt;=TODAY(),$I235&lt;&gt;"",$C235-$I235&gt;IMPOSTAZIONI!$C$7)," · rientro oltre "&amp;IMPOSTAZIONI!$C$7&amp;" giorni",""))=0,"",MID(IF(AND($C235&lt;&gt;"",$C235=TODAY())," · oggi in centro","")&amp;IF(AND($C235&lt;&gt;"",$C235&gt;=TODAY(),N($D235)+1&gt;=IMPOSTAZIONI!$C$5)," · ultima del ciclo, proponi il mantenimento","")&amp;IF(AND($C235&lt;&gt;"",$C235&gt;=TODAY(),$I235&lt;&gt;"",$C235-$I235&lt;IMPOSTAZIONI!$C$6)," · rientro anticipato, meno di "&amp;IMPOSTAZIONI!$C$6&amp;" giorni","")&amp;IF(AND($C235&lt;&gt;"",$C235&gt;=TODAY(),$I235&lt;&gt;"",$C235-$I235&gt;IMPOSTAZIONI!$C$7)," · rientro oltre "&amp;IMPOSTAZIONI!$C$7&amp;" giorni",""),4,300)))</f>
        <v/>
      </c>
      <c r="G235" s="16" t="n"/>
      <c r="H235" s="11" t="n"/>
      <c r="I235" s="13" t="n"/>
      <c r="J235" s="17">
        <f>IF($I235="","",TODAY()-$I235)</f>
        <v/>
      </c>
      <c r="K235" s="17">
        <f>IF($C235="","",$C235-TODAY())</f>
        <v/>
      </c>
      <c r="L235" s="15">
        <f>IF($A235="","",N($D235)&amp;"/"&amp;IMPOSTAZIONI!$C$5)</f>
        <v/>
      </c>
      <c r="M235" s="15">
        <f>IF($S235="","",IF($S235="RECUPERA CON INCENTIVO",INCENTIVI!$C$7,IF($S235="RICHIAMO MANTENIMENTO",INCENTIVI!$C$6,IF(OR($S235="FUORI FINESTRA",$S235="ULTIMA SEDUTA"),INCENTIVI!$C$5,""))))</f>
        <v/>
      </c>
      <c r="N235" s="18" t="n"/>
      <c r="O235" s="19">
        <f>IF($A235="","",N($D235)*N($N235))</f>
        <v/>
      </c>
      <c r="P235" s="19">
        <f>IF($A235="","",MAX(0,(IMPOSTAZIONI!$C$5-N($D235))*N($N235)))</f>
        <v/>
      </c>
      <c r="Q235" s="13" t="n"/>
      <c r="R235" s="11" t="n"/>
      <c r="S235" s="15">
        <f>IF($A235="","",IF(AND($C235&lt;&gt;"",$C235&lt;TODAY(),OR($I235="",$I235&lt;$C235)),"APPUNTAMENTO SALTATO",IF(AND($C235&lt;&gt;"",$C235-TODAY()=1),"CONFERMA DOMANI",IF(AND($C235&lt;&gt;"",$C235-TODAY()=IMPOSTAZIONI!$C$8),"CHIAMA PER CONFERMA",IF(AND($C235&lt;&gt;"",$C235&gt;=TODAY()),"",IF($E235="Sospesa","",IF($E235="Persa","RECUPERA CON INCENTIVO",IF(AND($I235&lt;&gt;"",TODAY()&gt;=EDATE($I235,IMPOSTAZIONI!$C$10)),"RECUPERA CON INCENTIVO",IF($E235="Mantenimento",IF(AND($I235&lt;&gt;"",TODAY()-$I235&gt;=IMPOSTAZIONI!$C$9),"RICHIAMO MANTENIMENTO",""),IF($E235="In ciclo",IF(N($D235)&gt;=IMPOSTAZIONI!$C$5,"ULTIMA SEDUTA",IF(AND($I235&lt;&gt;"",TODAY()-$I235&gt;IMPOSTAZIONI!$C$7),"FUORI FINESTRA","PRENDI APPUNTAMENTO")),IF($E235="Da contattare","PRENDI APPUNTAMENTO","")))))))))))</f>
        <v/>
      </c>
      <c r="T235" s="17">
        <f>IF($S235="","",IFERROR(MATCH($S235,IMPOSTAZIONI!$F$5:$F$12,0),9)*100000000+(9999-MIN(9999,ROUND(N($O235)/100,0)))*10000+ROW())</f>
        <v/>
      </c>
    </row>
    <row r="236">
      <c r="A236" s="11" t="n"/>
      <c r="B236" s="12">
        <f>IF($S236="","",IFERROR(MATCH($S236,IMPOSTAZIONI!$F$5:$F$12,0),9)&amp;" · "&amp;$S236)</f>
        <v/>
      </c>
      <c r="C236" s="13" t="n"/>
      <c r="D236" s="14" t="n"/>
      <c r="E236" s="11" t="n"/>
      <c r="F236" s="15">
        <f>IF($A236="","",IF(LEN(IF(AND($C236&lt;&gt;"",$C236=TODAY())," · oggi in centro","")&amp;IF(AND($C236&lt;&gt;"",$C236&gt;=TODAY(),N($D236)+1&gt;=IMPOSTAZIONI!$C$5)," · ultima del ciclo, proponi il mantenimento","")&amp;IF(AND($C236&lt;&gt;"",$C236&gt;=TODAY(),$I236&lt;&gt;"",$C236-$I236&lt;IMPOSTAZIONI!$C$6)," · rientro anticipato, meno di "&amp;IMPOSTAZIONI!$C$6&amp;" giorni","")&amp;IF(AND($C236&lt;&gt;"",$C236&gt;=TODAY(),$I236&lt;&gt;"",$C236-$I236&gt;IMPOSTAZIONI!$C$7)," · rientro oltre "&amp;IMPOSTAZIONI!$C$7&amp;" giorni",""))=0,"",MID(IF(AND($C236&lt;&gt;"",$C236=TODAY())," · oggi in centro","")&amp;IF(AND($C236&lt;&gt;"",$C236&gt;=TODAY(),N($D236)+1&gt;=IMPOSTAZIONI!$C$5)," · ultima del ciclo, proponi il mantenimento","")&amp;IF(AND($C236&lt;&gt;"",$C236&gt;=TODAY(),$I236&lt;&gt;"",$C236-$I236&lt;IMPOSTAZIONI!$C$6)," · rientro anticipato, meno di "&amp;IMPOSTAZIONI!$C$6&amp;" giorni","")&amp;IF(AND($C236&lt;&gt;"",$C236&gt;=TODAY(),$I236&lt;&gt;"",$C236-$I236&gt;IMPOSTAZIONI!$C$7)," · rientro oltre "&amp;IMPOSTAZIONI!$C$7&amp;" giorni",""),4,300)))</f>
        <v/>
      </c>
      <c r="G236" s="16" t="n"/>
      <c r="H236" s="11" t="n"/>
      <c r="I236" s="13" t="n"/>
      <c r="J236" s="17">
        <f>IF($I236="","",TODAY()-$I236)</f>
        <v/>
      </c>
      <c r="K236" s="17">
        <f>IF($C236="","",$C236-TODAY())</f>
        <v/>
      </c>
      <c r="L236" s="15">
        <f>IF($A236="","",N($D236)&amp;"/"&amp;IMPOSTAZIONI!$C$5)</f>
        <v/>
      </c>
      <c r="M236" s="15">
        <f>IF($S236="","",IF($S236="RECUPERA CON INCENTIVO",INCENTIVI!$C$7,IF($S236="RICHIAMO MANTENIMENTO",INCENTIVI!$C$6,IF(OR($S236="FUORI FINESTRA",$S236="ULTIMA SEDUTA"),INCENTIVI!$C$5,""))))</f>
        <v/>
      </c>
      <c r="N236" s="18" t="n"/>
      <c r="O236" s="19">
        <f>IF($A236="","",N($D236)*N($N236))</f>
        <v/>
      </c>
      <c r="P236" s="19">
        <f>IF($A236="","",MAX(0,(IMPOSTAZIONI!$C$5-N($D236))*N($N236)))</f>
        <v/>
      </c>
      <c r="Q236" s="13" t="n"/>
      <c r="R236" s="11" t="n"/>
      <c r="S236" s="15">
        <f>IF($A236="","",IF(AND($C236&lt;&gt;"",$C236&lt;TODAY(),OR($I236="",$I236&lt;$C236)),"APPUNTAMENTO SALTATO",IF(AND($C236&lt;&gt;"",$C236-TODAY()=1),"CONFERMA DOMANI",IF(AND($C236&lt;&gt;"",$C236-TODAY()=IMPOSTAZIONI!$C$8),"CHIAMA PER CONFERMA",IF(AND($C236&lt;&gt;"",$C236&gt;=TODAY()),"",IF($E236="Sospesa","",IF($E236="Persa","RECUPERA CON INCENTIVO",IF(AND($I236&lt;&gt;"",TODAY()&gt;=EDATE($I236,IMPOSTAZIONI!$C$10)),"RECUPERA CON INCENTIVO",IF($E236="Mantenimento",IF(AND($I236&lt;&gt;"",TODAY()-$I236&gt;=IMPOSTAZIONI!$C$9),"RICHIAMO MANTENIMENTO",""),IF($E236="In ciclo",IF(N($D236)&gt;=IMPOSTAZIONI!$C$5,"ULTIMA SEDUTA",IF(AND($I236&lt;&gt;"",TODAY()-$I236&gt;IMPOSTAZIONI!$C$7),"FUORI FINESTRA","PRENDI APPUNTAMENTO")),IF($E236="Da contattare","PRENDI APPUNTAMENTO","")))))))))))</f>
        <v/>
      </c>
      <c r="T236" s="17">
        <f>IF($S236="","",IFERROR(MATCH($S236,IMPOSTAZIONI!$F$5:$F$12,0),9)*100000000+(9999-MIN(9999,ROUND(N($O236)/100,0)))*10000+ROW())</f>
        <v/>
      </c>
    </row>
    <row r="237">
      <c r="A237" s="11" t="n"/>
      <c r="B237" s="12">
        <f>IF($S237="","",IFERROR(MATCH($S237,IMPOSTAZIONI!$F$5:$F$12,0),9)&amp;" · "&amp;$S237)</f>
        <v/>
      </c>
      <c r="C237" s="13" t="n"/>
      <c r="D237" s="14" t="n"/>
      <c r="E237" s="11" t="n"/>
      <c r="F237" s="15">
        <f>IF($A237="","",IF(LEN(IF(AND($C237&lt;&gt;"",$C237=TODAY())," · oggi in centro","")&amp;IF(AND($C237&lt;&gt;"",$C237&gt;=TODAY(),N($D237)+1&gt;=IMPOSTAZIONI!$C$5)," · ultima del ciclo, proponi il mantenimento","")&amp;IF(AND($C237&lt;&gt;"",$C237&gt;=TODAY(),$I237&lt;&gt;"",$C237-$I237&lt;IMPOSTAZIONI!$C$6)," · rientro anticipato, meno di "&amp;IMPOSTAZIONI!$C$6&amp;" giorni","")&amp;IF(AND($C237&lt;&gt;"",$C237&gt;=TODAY(),$I237&lt;&gt;"",$C237-$I237&gt;IMPOSTAZIONI!$C$7)," · rientro oltre "&amp;IMPOSTAZIONI!$C$7&amp;" giorni",""))=0,"",MID(IF(AND($C237&lt;&gt;"",$C237=TODAY())," · oggi in centro","")&amp;IF(AND($C237&lt;&gt;"",$C237&gt;=TODAY(),N($D237)+1&gt;=IMPOSTAZIONI!$C$5)," · ultima del ciclo, proponi il mantenimento","")&amp;IF(AND($C237&lt;&gt;"",$C237&gt;=TODAY(),$I237&lt;&gt;"",$C237-$I237&lt;IMPOSTAZIONI!$C$6)," · rientro anticipato, meno di "&amp;IMPOSTAZIONI!$C$6&amp;" giorni","")&amp;IF(AND($C237&lt;&gt;"",$C237&gt;=TODAY(),$I237&lt;&gt;"",$C237-$I237&gt;IMPOSTAZIONI!$C$7)," · rientro oltre "&amp;IMPOSTAZIONI!$C$7&amp;" giorni",""),4,300)))</f>
        <v/>
      </c>
      <c r="G237" s="16" t="n"/>
      <c r="H237" s="11" t="n"/>
      <c r="I237" s="13" t="n"/>
      <c r="J237" s="17">
        <f>IF($I237="","",TODAY()-$I237)</f>
        <v/>
      </c>
      <c r="K237" s="17">
        <f>IF($C237="","",$C237-TODAY())</f>
        <v/>
      </c>
      <c r="L237" s="15">
        <f>IF($A237="","",N($D237)&amp;"/"&amp;IMPOSTAZIONI!$C$5)</f>
        <v/>
      </c>
      <c r="M237" s="15">
        <f>IF($S237="","",IF($S237="RECUPERA CON INCENTIVO",INCENTIVI!$C$7,IF($S237="RICHIAMO MANTENIMENTO",INCENTIVI!$C$6,IF(OR($S237="FUORI FINESTRA",$S237="ULTIMA SEDUTA"),INCENTIVI!$C$5,""))))</f>
        <v/>
      </c>
      <c r="N237" s="18" t="n"/>
      <c r="O237" s="19">
        <f>IF($A237="","",N($D237)*N($N237))</f>
        <v/>
      </c>
      <c r="P237" s="19">
        <f>IF($A237="","",MAX(0,(IMPOSTAZIONI!$C$5-N($D237))*N($N237)))</f>
        <v/>
      </c>
      <c r="Q237" s="13" t="n"/>
      <c r="R237" s="11" t="n"/>
      <c r="S237" s="15">
        <f>IF($A237="","",IF(AND($C237&lt;&gt;"",$C237&lt;TODAY(),OR($I237="",$I237&lt;$C237)),"APPUNTAMENTO SALTATO",IF(AND($C237&lt;&gt;"",$C237-TODAY()=1),"CONFERMA DOMANI",IF(AND($C237&lt;&gt;"",$C237-TODAY()=IMPOSTAZIONI!$C$8),"CHIAMA PER CONFERMA",IF(AND($C237&lt;&gt;"",$C237&gt;=TODAY()),"",IF($E237="Sospesa","",IF($E237="Persa","RECUPERA CON INCENTIVO",IF(AND($I237&lt;&gt;"",TODAY()&gt;=EDATE($I237,IMPOSTAZIONI!$C$10)),"RECUPERA CON INCENTIVO",IF($E237="Mantenimento",IF(AND($I237&lt;&gt;"",TODAY()-$I237&gt;=IMPOSTAZIONI!$C$9),"RICHIAMO MANTENIMENTO",""),IF($E237="In ciclo",IF(N($D237)&gt;=IMPOSTAZIONI!$C$5,"ULTIMA SEDUTA",IF(AND($I237&lt;&gt;"",TODAY()-$I237&gt;IMPOSTAZIONI!$C$7),"FUORI FINESTRA","PRENDI APPUNTAMENTO")),IF($E237="Da contattare","PRENDI APPUNTAMENTO","")))))))))))</f>
        <v/>
      </c>
      <c r="T237" s="17">
        <f>IF($S237="","",IFERROR(MATCH($S237,IMPOSTAZIONI!$F$5:$F$12,0),9)*100000000+(9999-MIN(9999,ROUND(N($O237)/100,0)))*10000+ROW())</f>
        <v/>
      </c>
    </row>
    <row r="238">
      <c r="A238" s="11" t="n"/>
      <c r="B238" s="12">
        <f>IF($S238="","",IFERROR(MATCH($S238,IMPOSTAZIONI!$F$5:$F$12,0),9)&amp;" · "&amp;$S238)</f>
        <v/>
      </c>
      <c r="C238" s="13" t="n"/>
      <c r="D238" s="14" t="n"/>
      <c r="E238" s="11" t="n"/>
      <c r="F238" s="15">
        <f>IF($A238="","",IF(LEN(IF(AND($C238&lt;&gt;"",$C238=TODAY())," · oggi in centro","")&amp;IF(AND($C238&lt;&gt;"",$C238&gt;=TODAY(),N($D238)+1&gt;=IMPOSTAZIONI!$C$5)," · ultima del ciclo, proponi il mantenimento","")&amp;IF(AND($C238&lt;&gt;"",$C238&gt;=TODAY(),$I238&lt;&gt;"",$C238-$I238&lt;IMPOSTAZIONI!$C$6)," · rientro anticipato, meno di "&amp;IMPOSTAZIONI!$C$6&amp;" giorni","")&amp;IF(AND($C238&lt;&gt;"",$C238&gt;=TODAY(),$I238&lt;&gt;"",$C238-$I238&gt;IMPOSTAZIONI!$C$7)," · rientro oltre "&amp;IMPOSTAZIONI!$C$7&amp;" giorni",""))=0,"",MID(IF(AND($C238&lt;&gt;"",$C238=TODAY())," · oggi in centro","")&amp;IF(AND($C238&lt;&gt;"",$C238&gt;=TODAY(),N($D238)+1&gt;=IMPOSTAZIONI!$C$5)," · ultima del ciclo, proponi il mantenimento","")&amp;IF(AND($C238&lt;&gt;"",$C238&gt;=TODAY(),$I238&lt;&gt;"",$C238-$I238&lt;IMPOSTAZIONI!$C$6)," · rientro anticipato, meno di "&amp;IMPOSTAZIONI!$C$6&amp;" giorni","")&amp;IF(AND($C238&lt;&gt;"",$C238&gt;=TODAY(),$I238&lt;&gt;"",$C238-$I238&gt;IMPOSTAZIONI!$C$7)," · rientro oltre "&amp;IMPOSTAZIONI!$C$7&amp;" giorni",""),4,300)))</f>
        <v/>
      </c>
      <c r="G238" s="16" t="n"/>
      <c r="H238" s="11" t="n"/>
      <c r="I238" s="13" t="n"/>
      <c r="J238" s="17">
        <f>IF($I238="","",TODAY()-$I238)</f>
        <v/>
      </c>
      <c r="K238" s="17">
        <f>IF($C238="","",$C238-TODAY())</f>
        <v/>
      </c>
      <c r="L238" s="15">
        <f>IF($A238="","",N($D238)&amp;"/"&amp;IMPOSTAZIONI!$C$5)</f>
        <v/>
      </c>
      <c r="M238" s="15">
        <f>IF($S238="","",IF($S238="RECUPERA CON INCENTIVO",INCENTIVI!$C$7,IF($S238="RICHIAMO MANTENIMENTO",INCENTIVI!$C$6,IF(OR($S238="FUORI FINESTRA",$S238="ULTIMA SEDUTA"),INCENTIVI!$C$5,""))))</f>
        <v/>
      </c>
      <c r="N238" s="18" t="n"/>
      <c r="O238" s="19">
        <f>IF($A238="","",N($D238)*N($N238))</f>
        <v/>
      </c>
      <c r="P238" s="19">
        <f>IF($A238="","",MAX(0,(IMPOSTAZIONI!$C$5-N($D238))*N($N238)))</f>
        <v/>
      </c>
      <c r="Q238" s="13" t="n"/>
      <c r="R238" s="11" t="n"/>
      <c r="S238" s="15">
        <f>IF($A238="","",IF(AND($C238&lt;&gt;"",$C238&lt;TODAY(),OR($I238="",$I238&lt;$C238)),"APPUNTAMENTO SALTATO",IF(AND($C238&lt;&gt;"",$C238-TODAY()=1),"CONFERMA DOMANI",IF(AND($C238&lt;&gt;"",$C238-TODAY()=IMPOSTAZIONI!$C$8),"CHIAMA PER CONFERMA",IF(AND($C238&lt;&gt;"",$C238&gt;=TODAY()),"",IF($E238="Sospesa","",IF($E238="Persa","RECUPERA CON INCENTIVO",IF(AND($I238&lt;&gt;"",TODAY()&gt;=EDATE($I238,IMPOSTAZIONI!$C$10)),"RECUPERA CON INCENTIVO",IF($E238="Mantenimento",IF(AND($I238&lt;&gt;"",TODAY()-$I238&gt;=IMPOSTAZIONI!$C$9),"RICHIAMO MANTENIMENTO",""),IF($E238="In ciclo",IF(N($D238)&gt;=IMPOSTAZIONI!$C$5,"ULTIMA SEDUTA",IF(AND($I238&lt;&gt;"",TODAY()-$I238&gt;IMPOSTAZIONI!$C$7),"FUORI FINESTRA","PRENDI APPUNTAMENTO")),IF($E238="Da contattare","PRENDI APPUNTAMENTO","")))))))))))</f>
        <v/>
      </c>
      <c r="T238" s="17">
        <f>IF($S238="","",IFERROR(MATCH($S238,IMPOSTAZIONI!$F$5:$F$12,0),9)*100000000+(9999-MIN(9999,ROUND(N($O238)/100,0)))*10000+ROW())</f>
        <v/>
      </c>
    </row>
    <row r="239">
      <c r="A239" s="11" t="n"/>
      <c r="B239" s="12">
        <f>IF($S239="","",IFERROR(MATCH($S239,IMPOSTAZIONI!$F$5:$F$12,0),9)&amp;" · "&amp;$S239)</f>
        <v/>
      </c>
      <c r="C239" s="13" t="n"/>
      <c r="D239" s="14" t="n"/>
      <c r="E239" s="11" t="n"/>
      <c r="F239" s="15">
        <f>IF($A239="","",IF(LEN(IF(AND($C239&lt;&gt;"",$C239=TODAY())," · oggi in centro","")&amp;IF(AND($C239&lt;&gt;"",$C239&gt;=TODAY(),N($D239)+1&gt;=IMPOSTAZIONI!$C$5)," · ultima del ciclo, proponi il mantenimento","")&amp;IF(AND($C239&lt;&gt;"",$C239&gt;=TODAY(),$I239&lt;&gt;"",$C239-$I239&lt;IMPOSTAZIONI!$C$6)," · rientro anticipato, meno di "&amp;IMPOSTAZIONI!$C$6&amp;" giorni","")&amp;IF(AND($C239&lt;&gt;"",$C239&gt;=TODAY(),$I239&lt;&gt;"",$C239-$I239&gt;IMPOSTAZIONI!$C$7)," · rientro oltre "&amp;IMPOSTAZIONI!$C$7&amp;" giorni",""))=0,"",MID(IF(AND($C239&lt;&gt;"",$C239=TODAY())," · oggi in centro","")&amp;IF(AND($C239&lt;&gt;"",$C239&gt;=TODAY(),N($D239)+1&gt;=IMPOSTAZIONI!$C$5)," · ultima del ciclo, proponi il mantenimento","")&amp;IF(AND($C239&lt;&gt;"",$C239&gt;=TODAY(),$I239&lt;&gt;"",$C239-$I239&lt;IMPOSTAZIONI!$C$6)," · rientro anticipato, meno di "&amp;IMPOSTAZIONI!$C$6&amp;" giorni","")&amp;IF(AND($C239&lt;&gt;"",$C239&gt;=TODAY(),$I239&lt;&gt;"",$C239-$I239&gt;IMPOSTAZIONI!$C$7)," · rientro oltre "&amp;IMPOSTAZIONI!$C$7&amp;" giorni",""),4,300)))</f>
        <v/>
      </c>
      <c r="G239" s="16" t="n"/>
      <c r="H239" s="11" t="n"/>
      <c r="I239" s="13" t="n"/>
      <c r="J239" s="17">
        <f>IF($I239="","",TODAY()-$I239)</f>
        <v/>
      </c>
      <c r="K239" s="17">
        <f>IF($C239="","",$C239-TODAY())</f>
        <v/>
      </c>
      <c r="L239" s="15">
        <f>IF($A239="","",N($D239)&amp;"/"&amp;IMPOSTAZIONI!$C$5)</f>
        <v/>
      </c>
      <c r="M239" s="15">
        <f>IF($S239="","",IF($S239="RECUPERA CON INCENTIVO",INCENTIVI!$C$7,IF($S239="RICHIAMO MANTENIMENTO",INCENTIVI!$C$6,IF(OR($S239="FUORI FINESTRA",$S239="ULTIMA SEDUTA"),INCENTIVI!$C$5,""))))</f>
        <v/>
      </c>
      <c r="N239" s="18" t="n"/>
      <c r="O239" s="19">
        <f>IF($A239="","",N($D239)*N($N239))</f>
        <v/>
      </c>
      <c r="P239" s="19">
        <f>IF($A239="","",MAX(0,(IMPOSTAZIONI!$C$5-N($D239))*N($N239)))</f>
        <v/>
      </c>
      <c r="Q239" s="13" t="n"/>
      <c r="R239" s="11" t="n"/>
      <c r="S239" s="15">
        <f>IF($A239="","",IF(AND($C239&lt;&gt;"",$C239&lt;TODAY(),OR($I239="",$I239&lt;$C239)),"APPUNTAMENTO SALTATO",IF(AND($C239&lt;&gt;"",$C239-TODAY()=1),"CONFERMA DOMANI",IF(AND($C239&lt;&gt;"",$C239-TODAY()=IMPOSTAZIONI!$C$8),"CHIAMA PER CONFERMA",IF(AND($C239&lt;&gt;"",$C239&gt;=TODAY()),"",IF($E239="Sospesa","",IF($E239="Persa","RECUPERA CON INCENTIVO",IF(AND($I239&lt;&gt;"",TODAY()&gt;=EDATE($I239,IMPOSTAZIONI!$C$10)),"RECUPERA CON INCENTIVO",IF($E239="Mantenimento",IF(AND($I239&lt;&gt;"",TODAY()-$I239&gt;=IMPOSTAZIONI!$C$9),"RICHIAMO MANTENIMENTO",""),IF($E239="In ciclo",IF(N($D239)&gt;=IMPOSTAZIONI!$C$5,"ULTIMA SEDUTA",IF(AND($I239&lt;&gt;"",TODAY()-$I239&gt;IMPOSTAZIONI!$C$7),"FUORI FINESTRA","PRENDI APPUNTAMENTO")),IF($E239="Da contattare","PRENDI APPUNTAMENTO","")))))))))))</f>
        <v/>
      </c>
      <c r="T239" s="17">
        <f>IF($S239="","",IFERROR(MATCH($S239,IMPOSTAZIONI!$F$5:$F$12,0),9)*100000000+(9999-MIN(9999,ROUND(N($O239)/100,0)))*10000+ROW())</f>
        <v/>
      </c>
    </row>
    <row r="240">
      <c r="A240" s="11" t="n"/>
      <c r="B240" s="12">
        <f>IF($S240="","",IFERROR(MATCH($S240,IMPOSTAZIONI!$F$5:$F$12,0),9)&amp;" · "&amp;$S240)</f>
        <v/>
      </c>
      <c r="C240" s="13" t="n"/>
      <c r="D240" s="14" t="n"/>
      <c r="E240" s="11" t="n"/>
      <c r="F240" s="15">
        <f>IF($A240="","",IF(LEN(IF(AND($C240&lt;&gt;"",$C240=TODAY())," · oggi in centro","")&amp;IF(AND($C240&lt;&gt;"",$C240&gt;=TODAY(),N($D240)+1&gt;=IMPOSTAZIONI!$C$5)," · ultima del ciclo, proponi il mantenimento","")&amp;IF(AND($C240&lt;&gt;"",$C240&gt;=TODAY(),$I240&lt;&gt;"",$C240-$I240&lt;IMPOSTAZIONI!$C$6)," · rientro anticipato, meno di "&amp;IMPOSTAZIONI!$C$6&amp;" giorni","")&amp;IF(AND($C240&lt;&gt;"",$C240&gt;=TODAY(),$I240&lt;&gt;"",$C240-$I240&gt;IMPOSTAZIONI!$C$7)," · rientro oltre "&amp;IMPOSTAZIONI!$C$7&amp;" giorni",""))=0,"",MID(IF(AND($C240&lt;&gt;"",$C240=TODAY())," · oggi in centro","")&amp;IF(AND($C240&lt;&gt;"",$C240&gt;=TODAY(),N($D240)+1&gt;=IMPOSTAZIONI!$C$5)," · ultima del ciclo, proponi il mantenimento","")&amp;IF(AND($C240&lt;&gt;"",$C240&gt;=TODAY(),$I240&lt;&gt;"",$C240-$I240&lt;IMPOSTAZIONI!$C$6)," · rientro anticipato, meno di "&amp;IMPOSTAZIONI!$C$6&amp;" giorni","")&amp;IF(AND($C240&lt;&gt;"",$C240&gt;=TODAY(),$I240&lt;&gt;"",$C240-$I240&gt;IMPOSTAZIONI!$C$7)," · rientro oltre "&amp;IMPOSTAZIONI!$C$7&amp;" giorni",""),4,300)))</f>
        <v/>
      </c>
      <c r="G240" s="16" t="n"/>
      <c r="H240" s="11" t="n"/>
      <c r="I240" s="13" t="n"/>
      <c r="J240" s="17">
        <f>IF($I240="","",TODAY()-$I240)</f>
        <v/>
      </c>
      <c r="K240" s="17">
        <f>IF($C240="","",$C240-TODAY())</f>
        <v/>
      </c>
      <c r="L240" s="15">
        <f>IF($A240="","",N($D240)&amp;"/"&amp;IMPOSTAZIONI!$C$5)</f>
        <v/>
      </c>
      <c r="M240" s="15">
        <f>IF($S240="","",IF($S240="RECUPERA CON INCENTIVO",INCENTIVI!$C$7,IF($S240="RICHIAMO MANTENIMENTO",INCENTIVI!$C$6,IF(OR($S240="FUORI FINESTRA",$S240="ULTIMA SEDUTA"),INCENTIVI!$C$5,""))))</f>
        <v/>
      </c>
      <c r="N240" s="18" t="n"/>
      <c r="O240" s="19">
        <f>IF($A240="","",N($D240)*N($N240))</f>
        <v/>
      </c>
      <c r="P240" s="19">
        <f>IF($A240="","",MAX(0,(IMPOSTAZIONI!$C$5-N($D240))*N($N240)))</f>
        <v/>
      </c>
      <c r="Q240" s="13" t="n"/>
      <c r="R240" s="11" t="n"/>
      <c r="S240" s="15">
        <f>IF($A240="","",IF(AND($C240&lt;&gt;"",$C240&lt;TODAY(),OR($I240="",$I240&lt;$C240)),"APPUNTAMENTO SALTATO",IF(AND($C240&lt;&gt;"",$C240-TODAY()=1),"CONFERMA DOMANI",IF(AND($C240&lt;&gt;"",$C240-TODAY()=IMPOSTAZIONI!$C$8),"CHIAMA PER CONFERMA",IF(AND($C240&lt;&gt;"",$C240&gt;=TODAY()),"",IF($E240="Sospesa","",IF($E240="Persa","RECUPERA CON INCENTIVO",IF(AND($I240&lt;&gt;"",TODAY()&gt;=EDATE($I240,IMPOSTAZIONI!$C$10)),"RECUPERA CON INCENTIVO",IF($E240="Mantenimento",IF(AND($I240&lt;&gt;"",TODAY()-$I240&gt;=IMPOSTAZIONI!$C$9),"RICHIAMO MANTENIMENTO",""),IF($E240="In ciclo",IF(N($D240)&gt;=IMPOSTAZIONI!$C$5,"ULTIMA SEDUTA",IF(AND($I240&lt;&gt;"",TODAY()-$I240&gt;IMPOSTAZIONI!$C$7),"FUORI FINESTRA","PRENDI APPUNTAMENTO")),IF($E240="Da contattare","PRENDI APPUNTAMENTO","")))))))))))</f>
        <v/>
      </c>
      <c r="T240" s="17">
        <f>IF($S240="","",IFERROR(MATCH($S240,IMPOSTAZIONI!$F$5:$F$12,0),9)*100000000+(9999-MIN(9999,ROUND(N($O240)/100,0)))*10000+ROW())</f>
        <v/>
      </c>
    </row>
    <row r="241">
      <c r="A241" s="11" t="n"/>
      <c r="B241" s="12">
        <f>IF($S241="","",IFERROR(MATCH($S241,IMPOSTAZIONI!$F$5:$F$12,0),9)&amp;" · "&amp;$S241)</f>
        <v/>
      </c>
      <c r="C241" s="13" t="n"/>
      <c r="D241" s="14" t="n"/>
      <c r="E241" s="11" t="n"/>
      <c r="F241" s="15">
        <f>IF($A241="","",IF(LEN(IF(AND($C241&lt;&gt;"",$C241=TODAY())," · oggi in centro","")&amp;IF(AND($C241&lt;&gt;"",$C241&gt;=TODAY(),N($D241)+1&gt;=IMPOSTAZIONI!$C$5)," · ultima del ciclo, proponi il mantenimento","")&amp;IF(AND($C241&lt;&gt;"",$C241&gt;=TODAY(),$I241&lt;&gt;"",$C241-$I241&lt;IMPOSTAZIONI!$C$6)," · rientro anticipato, meno di "&amp;IMPOSTAZIONI!$C$6&amp;" giorni","")&amp;IF(AND($C241&lt;&gt;"",$C241&gt;=TODAY(),$I241&lt;&gt;"",$C241-$I241&gt;IMPOSTAZIONI!$C$7)," · rientro oltre "&amp;IMPOSTAZIONI!$C$7&amp;" giorni",""))=0,"",MID(IF(AND($C241&lt;&gt;"",$C241=TODAY())," · oggi in centro","")&amp;IF(AND($C241&lt;&gt;"",$C241&gt;=TODAY(),N($D241)+1&gt;=IMPOSTAZIONI!$C$5)," · ultima del ciclo, proponi il mantenimento","")&amp;IF(AND($C241&lt;&gt;"",$C241&gt;=TODAY(),$I241&lt;&gt;"",$C241-$I241&lt;IMPOSTAZIONI!$C$6)," · rientro anticipato, meno di "&amp;IMPOSTAZIONI!$C$6&amp;" giorni","")&amp;IF(AND($C241&lt;&gt;"",$C241&gt;=TODAY(),$I241&lt;&gt;"",$C241-$I241&gt;IMPOSTAZIONI!$C$7)," · rientro oltre "&amp;IMPOSTAZIONI!$C$7&amp;" giorni",""),4,300)))</f>
        <v/>
      </c>
      <c r="G241" s="16" t="n"/>
      <c r="H241" s="11" t="n"/>
      <c r="I241" s="13" t="n"/>
      <c r="J241" s="17">
        <f>IF($I241="","",TODAY()-$I241)</f>
        <v/>
      </c>
      <c r="K241" s="17">
        <f>IF($C241="","",$C241-TODAY())</f>
        <v/>
      </c>
      <c r="L241" s="15">
        <f>IF($A241="","",N($D241)&amp;"/"&amp;IMPOSTAZIONI!$C$5)</f>
        <v/>
      </c>
      <c r="M241" s="15">
        <f>IF($S241="","",IF($S241="RECUPERA CON INCENTIVO",INCENTIVI!$C$7,IF($S241="RICHIAMO MANTENIMENTO",INCENTIVI!$C$6,IF(OR($S241="FUORI FINESTRA",$S241="ULTIMA SEDUTA"),INCENTIVI!$C$5,""))))</f>
        <v/>
      </c>
      <c r="N241" s="18" t="n"/>
      <c r="O241" s="19">
        <f>IF($A241="","",N($D241)*N($N241))</f>
        <v/>
      </c>
      <c r="P241" s="19">
        <f>IF($A241="","",MAX(0,(IMPOSTAZIONI!$C$5-N($D241))*N($N241)))</f>
        <v/>
      </c>
      <c r="Q241" s="13" t="n"/>
      <c r="R241" s="11" t="n"/>
      <c r="S241" s="15">
        <f>IF($A241="","",IF(AND($C241&lt;&gt;"",$C241&lt;TODAY(),OR($I241="",$I241&lt;$C241)),"APPUNTAMENTO SALTATO",IF(AND($C241&lt;&gt;"",$C241-TODAY()=1),"CONFERMA DOMANI",IF(AND($C241&lt;&gt;"",$C241-TODAY()=IMPOSTAZIONI!$C$8),"CHIAMA PER CONFERMA",IF(AND($C241&lt;&gt;"",$C241&gt;=TODAY()),"",IF($E241="Sospesa","",IF($E241="Persa","RECUPERA CON INCENTIVO",IF(AND($I241&lt;&gt;"",TODAY()&gt;=EDATE($I241,IMPOSTAZIONI!$C$10)),"RECUPERA CON INCENTIVO",IF($E241="Mantenimento",IF(AND($I241&lt;&gt;"",TODAY()-$I241&gt;=IMPOSTAZIONI!$C$9),"RICHIAMO MANTENIMENTO",""),IF($E241="In ciclo",IF(N($D241)&gt;=IMPOSTAZIONI!$C$5,"ULTIMA SEDUTA",IF(AND($I241&lt;&gt;"",TODAY()-$I241&gt;IMPOSTAZIONI!$C$7),"FUORI FINESTRA","PRENDI APPUNTAMENTO")),IF($E241="Da contattare","PRENDI APPUNTAMENTO","")))))))))))</f>
        <v/>
      </c>
      <c r="T241" s="17">
        <f>IF($S241="","",IFERROR(MATCH($S241,IMPOSTAZIONI!$F$5:$F$12,0),9)*100000000+(9999-MIN(9999,ROUND(N($O241)/100,0)))*10000+ROW())</f>
        <v/>
      </c>
    </row>
    <row r="242">
      <c r="A242" s="11" t="n"/>
      <c r="B242" s="12">
        <f>IF($S242="","",IFERROR(MATCH($S242,IMPOSTAZIONI!$F$5:$F$12,0),9)&amp;" · "&amp;$S242)</f>
        <v/>
      </c>
      <c r="C242" s="13" t="n"/>
      <c r="D242" s="14" t="n"/>
      <c r="E242" s="11" t="n"/>
      <c r="F242" s="15">
        <f>IF($A242="","",IF(LEN(IF(AND($C242&lt;&gt;"",$C242=TODAY())," · oggi in centro","")&amp;IF(AND($C242&lt;&gt;"",$C242&gt;=TODAY(),N($D242)+1&gt;=IMPOSTAZIONI!$C$5)," · ultima del ciclo, proponi il mantenimento","")&amp;IF(AND($C242&lt;&gt;"",$C242&gt;=TODAY(),$I242&lt;&gt;"",$C242-$I242&lt;IMPOSTAZIONI!$C$6)," · rientro anticipato, meno di "&amp;IMPOSTAZIONI!$C$6&amp;" giorni","")&amp;IF(AND($C242&lt;&gt;"",$C242&gt;=TODAY(),$I242&lt;&gt;"",$C242-$I242&gt;IMPOSTAZIONI!$C$7)," · rientro oltre "&amp;IMPOSTAZIONI!$C$7&amp;" giorni",""))=0,"",MID(IF(AND($C242&lt;&gt;"",$C242=TODAY())," · oggi in centro","")&amp;IF(AND($C242&lt;&gt;"",$C242&gt;=TODAY(),N($D242)+1&gt;=IMPOSTAZIONI!$C$5)," · ultima del ciclo, proponi il mantenimento","")&amp;IF(AND($C242&lt;&gt;"",$C242&gt;=TODAY(),$I242&lt;&gt;"",$C242-$I242&lt;IMPOSTAZIONI!$C$6)," · rientro anticipato, meno di "&amp;IMPOSTAZIONI!$C$6&amp;" giorni","")&amp;IF(AND($C242&lt;&gt;"",$C242&gt;=TODAY(),$I242&lt;&gt;"",$C242-$I242&gt;IMPOSTAZIONI!$C$7)," · rientro oltre "&amp;IMPOSTAZIONI!$C$7&amp;" giorni",""),4,300)))</f>
        <v/>
      </c>
      <c r="G242" s="16" t="n"/>
      <c r="H242" s="11" t="n"/>
      <c r="I242" s="13" t="n"/>
      <c r="J242" s="17">
        <f>IF($I242="","",TODAY()-$I242)</f>
        <v/>
      </c>
      <c r="K242" s="17">
        <f>IF($C242="","",$C242-TODAY())</f>
        <v/>
      </c>
      <c r="L242" s="15">
        <f>IF($A242="","",N($D242)&amp;"/"&amp;IMPOSTAZIONI!$C$5)</f>
        <v/>
      </c>
      <c r="M242" s="15">
        <f>IF($S242="","",IF($S242="RECUPERA CON INCENTIVO",INCENTIVI!$C$7,IF($S242="RICHIAMO MANTENIMENTO",INCENTIVI!$C$6,IF(OR($S242="FUORI FINESTRA",$S242="ULTIMA SEDUTA"),INCENTIVI!$C$5,""))))</f>
        <v/>
      </c>
      <c r="N242" s="18" t="n"/>
      <c r="O242" s="19">
        <f>IF($A242="","",N($D242)*N($N242))</f>
        <v/>
      </c>
      <c r="P242" s="19">
        <f>IF($A242="","",MAX(0,(IMPOSTAZIONI!$C$5-N($D242))*N($N242)))</f>
        <v/>
      </c>
      <c r="Q242" s="13" t="n"/>
      <c r="R242" s="11" t="n"/>
      <c r="S242" s="15">
        <f>IF($A242="","",IF(AND($C242&lt;&gt;"",$C242&lt;TODAY(),OR($I242="",$I242&lt;$C242)),"APPUNTAMENTO SALTATO",IF(AND($C242&lt;&gt;"",$C242-TODAY()=1),"CONFERMA DOMANI",IF(AND($C242&lt;&gt;"",$C242-TODAY()=IMPOSTAZIONI!$C$8),"CHIAMA PER CONFERMA",IF(AND($C242&lt;&gt;"",$C242&gt;=TODAY()),"",IF($E242="Sospesa","",IF($E242="Persa","RECUPERA CON INCENTIVO",IF(AND($I242&lt;&gt;"",TODAY()&gt;=EDATE($I242,IMPOSTAZIONI!$C$10)),"RECUPERA CON INCENTIVO",IF($E242="Mantenimento",IF(AND($I242&lt;&gt;"",TODAY()-$I242&gt;=IMPOSTAZIONI!$C$9),"RICHIAMO MANTENIMENTO",""),IF($E242="In ciclo",IF(N($D242)&gt;=IMPOSTAZIONI!$C$5,"ULTIMA SEDUTA",IF(AND($I242&lt;&gt;"",TODAY()-$I242&gt;IMPOSTAZIONI!$C$7),"FUORI FINESTRA","PRENDI APPUNTAMENTO")),IF($E242="Da contattare","PRENDI APPUNTAMENTO","")))))))))))</f>
        <v/>
      </c>
      <c r="T242" s="17">
        <f>IF($S242="","",IFERROR(MATCH($S242,IMPOSTAZIONI!$F$5:$F$12,0),9)*100000000+(9999-MIN(9999,ROUND(N($O242)/100,0)))*10000+ROW())</f>
        <v/>
      </c>
    </row>
    <row r="243">
      <c r="A243" s="11" t="n"/>
      <c r="B243" s="12">
        <f>IF($S243="","",IFERROR(MATCH($S243,IMPOSTAZIONI!$F$5:$F$12,0),9)&amp;" · "&amp;$S243)</f>
        <v/>
      </c>
      <c r="C243" s="13" t="n"/>
      <c r="D243" s="14" t="n"/>
      <c r="E243" s="11" t="n"/>
      <c r="F243" s="15">
        <f>IF($A243="","",IF(LEN(IF(AND($C243&lt;&gt;"",$C243=TODAY())," · oggi in centro","")&amp;IF(AND($C243&lt;&gt;"",$C243&gt;=TODAY(),N($D243)+1&gt;=IMPOSTAZIONI!$C$5)," · ultima del ciclo, proponi il mantenimento","")&amp;IF(AND($C243&lt;&gt;"",$C243&gt;=TODAY(),$I243&lt;&gt;"",$C243-$I243&lt;IMPOSTAZIONI!$C$6)," · rientro anticipato, meno di "&amp;IMPOSTAZIONI!$C$6&amp;" giorni","")&amp;IF(AND($C243&lt;&gt;"",$C243&gt;=TODAY(),$I243&lt;&gt;"",$C243-$I243&gt;IMPOSTAZIONI!$C$7)," · rientro oltre "&amp;IMPOSTAZIONI!$C$7&amp;" giorni",""))=0,"",MID(IF(AND($C243&lt;&gt;"",$C243=TODAY())," · oggi in centro","")&amp;IF(AND($C243&lt;&gt;"",$C243&gt;=TODAY(),N($D243)+1&gt;=IMPOSTAZIONI!$C$5)," · ultima del ciclo, proponi il mantenimento","")&amp;IF(AND($C243&lt;&gt;"",$C243&gt;=TODAY(),$I243&lt;&gt;"",$C243-$I243&lt;IMPOSTAZIONI!$C$6)," · rientro anticipato, meno di "&amp;IMPOSTAZIONI!$C$6&amp;" giorni","")&amp;IF(AND($C243&lt;&gt;"",$C243&gt;=TODAY(),$I243&lt;&gt;"",$C243-$I243&gt;IMPOSTAZIONI!$C$7)," · rientro oltre "&amp;IMPOSTAZIONI!$C$7&amp;" giorni",""),4,300)))</f>
        <v/>
      </c>
      <c r="G243" s="16" t="n"/>
      <c r="H243" s="11" t="n"/>
      <c r="I243" s="13" t="n"/>
      <c r="J243" s="17">
        <f>IF($I243="","",TODAY()-$I243)</f>
        <v/>
      </c>
      <c r="K243" s="17">
        <f>IF($C243="","",$C243-TODAY())</f>
        <v/>
      </c>
      <c r="L243" s="15">
        <f>IF($A243="","",N($D243)&amp;"/"&amp;IMPOSTAZIONI!$C$5)</f>
        <v/>
      </c>
      <c r="M243" s="15">
        <f>IF($S243="","",IF($S243="RECUPERA CON INCENTIVO",INCENTIVI!$C$7,IF($S243="RICHIAMO MANTENIMENTO",INCENTIVI!$C$6,IF(OR($S243="FUORI FINESTRA",$S243="ULTIMA SEDUTA"),INCENTIVI!$C$5,""))))</f>
        <v/>
      </c>
      <c r="N243" s="18" t="n"/>
      <c r="O243" s="19">
        <f>IF($A243="","",N($D243)*N($N243))</f>
        <v/>
      </c>
      <c r="P243" s="19">
        <f>IF($A243="","",MAX(0,(IMPOSTAZIONI!$C$5-N($D243))*N($N243)))</f>
        <v/>
      </c>
      <c r="Q243" s="13" t="n"/>
      <c r="R243" s="11" t="n"/>
      <c r="S243" s="15">
        <f>IF($A243="","",IF(AND($C243&lt;&gt;"",$C243&lt;TODAY(),OR($I243="",$I243&lt;$C243)),"APPUNTAMENTO SALTATO",IF(AND($C243&lt;&gt;"",$C243-TODAY()=1),"CONFERMA DOMANI",IF(AND($C243&lt;&gt;"",$C243-TODAY()=IMPOSTAZIONI!$C$8),"CHIAMA PER CONFERMA",IF(AND($C243&lt;&gt;"",$C243&gt;=TODAY()),"",IF($E243="Sospesa","",IF($E243="Persa","RECUPERA CON INCENTIVO",IF(AND($I243&lt;&gt;"",TODAY()&gt;=EDATE($I243,IMPOSTAZIONI!$C$10)),"RECUPERA CON INCENTIVO",IF($E243="Mantenimento",IF(AND($I243&lt;&gt;"",TODAY()-$I243&gt;=IMPOSTAZIONI!$C$9),"RICHIAMO MANTENIMENTO",""),IF($E243="In ciclo",IF(N($D243)&gt;=IMPOSTAZIONI!$C$5,"ULTIMA SEDUTA",IF(AND($I243&lt;&gt;"",TODAY()-$I243&gt;IMPOSTAZIONI!$C$7),"FUORI FINESTRA","PRENDI APPUNTAMENTO")),IF($E243="Da contattare","PRENDI APPUNTAMENTO","")))))))))))</f>
        <v/>
      </c>
      <c r="T243" s="17">
        <f>IF($S243="","",IFERROR(MATCH($S243,IMPOSTAZIONI!$F$5:$F$12,0),9)*100000000+(9999-MIN(9999,ROUND(N($O243)/100,0)))*10000+ROW())</f>
        <v/>
      </c>
    </row>
    <row r="244">
      <c r="A244" s="11" t="n"/>
      <c r="B244" s="12">
        <f>IF($S244="","",IFERROR(MATCH($S244,IMPOSTAZIONI!$F$5:$F$12,0),9)&amp;" · "&amp;$S244)</f>
        <v/>
      </c>
      <c r="C244" s="13" t="n"/>
      <c r="D244" s="14" t="n"/>
      <c r="E244" s="11" t="n"/>
      <c r="F244" s="15">
        <f>IF($A244="","",IF(LEN(IF(AND($C244&lt;&gt;"",$C244=TODAY())," · oggi in centro","")&amp;IF(AND($C244&lt;&gt;"",$C244&gt;=TODAY(),N($D244)+1&gt;=IMPOSTAZIONI!$C$5)," · ultima del ciclo, proponi il mantenimento","")&amp;IF(AND($C244&lt;&gt;"",$C244&gt;=TODAY(),$I244&lt;&gt;"",$C244-$I244&lt;IMPOSTAZIONI!$C$6)," · rientro anticipato, meno di "&amp;IMPOSTAZIONI!$C$6&amp;" giorni","")&amp;IF(AND($C244&lt;&gt;"",$C244&gt;=TODAY(),$I244&lt;&gt;"",$C244-$I244&gt;IMPOSTAZIONI!$C$7)," · rientro oltre "&amp;IMPOSTAZIONI!$C$7&amp;" giorni",""))=0,"",MID(IF(AND($C244&lt;&gt;"",$C244=TODAY())," · oggi in centro","")&amp;IF(AND($C244&lt;&gt;"",$C244&gt;=TODAY(),N($D244)+1&gt;=IMPOSTAZIONI!$C$5)," · ultima del ciclo, proponi il mantenimento","")&amp;IF(AND($C244&lt;&gt;"",$C244&gt;=TODAY(),$I244&lt;&gt;"",$C244-$I244&lt;IMPOSTAZIONI!$C$6)," · rientro anticipato, meno di "&amp;IMPOSTAZIONI!$C$6&amp;" giorni","")&amp;IF(AND($C244&lt;&gt;"",$C244&gt;=TODAY(),$I244&lt;&gt;"",$C244-$I244&gt;IMPOSTAZIONI!$C$7)," · rientro oltre "&amp;IMPOSTAZIONI!$C$7&amp;" giorni",""),4,300)))</f>
        <v/>
      </c>
      <c r="G244" s="16" t="n"/>
      <c r="H244" s="11" t="n"/>
      <c r="I244" s="13" t="n"/>
      <c r="J244" s="17">
        <f>IF($I244="","",TODAY()-$I244)</f>
        <v/>
      </c>
      <c r="K244" s="17">
        <f>IF($C244="","",$C244-TODAY())</f>
        <v/>
      </c>
      <c r="L244" s="15">
        <f>IF($A244="","",N($D244)&amp;"/"&amp;IMPOSTAZIONI!$C$5)</f>
        <v/>
      </c>
      <c r="M244" s="15">
        <f>IF($S244="","",IF($S244="RECUPERA CON INCENTIVO",INCENTIVI!$C$7,IF($S244="RICHIAMO MANTENIMENTO",INCENTIVI!$C$6,IF(OR($S244="FUORI FINESTRA",$S244="ULTIMA SEDUTA"),INCENTIVI!$C$5,""))))</f>
        <v/>
      </c>
      <c r="N244" s="18" t="n"/>
      <c r="O244" s="19">
        <f>IF($A244="","",N($D244)*N($N244))</f>
        <v/>
      </c>
      <c r="P244" s="19">
        <f>IF($A244="","",MAX(0,(IMPOSTAZIONI!$C$5-N($D244))*N($N244)))</f>
        <v/>
      </c>
      <c r="Q244" s="13" t="n"/>
      <c r="R244" s="11" t="n"/>
      <c r="S244" s="15">
        <f>IF($A244="","",IF(AND($C244&lt;&gt;"",$C244&lt;TODAY(),OR($I244="",$I244&lt;$C244)),"APPUNTAMENTO SALTATO",IF(AND($C244&lt;&gt;"",$C244-TODAY()=1),"CONFERMA DOMANI",IF(AND($C244&lt;&gt;"",$C244-TODAY()=IMPOSTAZIONI!$C$8),"CHIAMA PER CONFERMA",IF(AND($C244&lt;&gt;"",$C244&gt;=TODAY()),"",IF($E244="Sospesa","",IF($E244="Persa","RECUPERA CON INCENTIVO",IF(AND($I244&lt;&gt;"",TODAY()&gt;=EDATE($I244,IMPOSTAZIONI!$C$10)),"RECUPERA CON INCENTIVO",IF($E244="Mantenimento",IF(AND($I244&lt;&gt;"",TODAY()-$I244&gt;=IMPOSTAZIONI!$C$9),"RICHIAMO MANTENIMENTO",""),IF($E244="In ciclo",IF(N($D244)&gt;=IMPOSTAZIONI!$C$5,"ULTIMA SEDUTA",IF(AND($I244&lt;&gt;"",TODAY()-$I244&gt;IMPOSTAZIONI!$C$7),"FUORI FINESTRA","PRENDI APPUNTAMENTO")),IF($E244="Da contattare","PRENDI APPUNTAMENTO","")))))))))))</f>
        <v/>
      </c>
      <c r="T244" s="17">
        <f>IF($S244="","",IFERROR(MATCH($S244,IMPOSTAZIONI!$F$5:$F$12,0),9)*100000000+(9999-MIN(9999,ROUND(N($O244)/100,0)))*10000+ROW())</f>
        <v/>
      </c>
    </row>
    <row r="245">
      <c r="A245" s="11" t="n"/>
      <c r="B245" s="12">
        <f>IF($S245="","",IFERROR(MATCH($S245,IMPOSTAZIONI!$F$5:$F$12,0),9)&amp;" · "&amp;$S245)</f>
        <v/>
      </c>
      <c r="C245" s="13" t="n"/>
      <c r="D245" s="14" t="n"/>
      <c r="E245" s="11" t="n"/>
      <c r="F245" s="15">
        <f>IF($A245="","",IF(LEN(IF(AND($C245&lt;&gt;"",$C245=TODAY())," · oggi in centro","")&amp;IF(AND($C245&lt;&gt;"",$C245&gt;=TODAY(),N($D245)+1&gt;=IMPOSTAZIONI!$C$5)," · ultima del ciclo, proponi il mantenimento","")&amp;IF(AND($C245&lt;&gt;"",$C245&gt;=TODAY(),$I245&lt;&gt;"",$C245-$I245&lt;IMPOSTAZIONI!$C$6)," · rientro anticipato, meno di "&amp;IMPOSTAZIONI!$C$6&amp;" giorni","")&amp;IF(AND($C245&lt;&gt;"",$C245&gt;=TODAY(),$I245&lt;&gt;"",$C245-$I245&gt;IMPOSTAZIONI!$C$7)," · rientro oltre "&amp;IMPOSTAZIONI!$C$7&amp;" giorni",""))=0,"",MID(IF(AND($C245&lt;&gt;"",$C245=TODAY())," · oggi in centro","")&amp;IF(AND($C245&lt;&gt;"",$C245&gt;=TODAY(),N($D245)+1&gt;=IMPOSTAZIONI!$C$5)," · ultima del ciclo, proponi il mantenimento","")&amp;IF(AND($C245&lt;&gt;"",$C245&gt;=TODAY(),$I245&lt;&gt;"",$C245-$I245&lt;IMPOSTAZIONI!$C$6)," · rientro anticipato, meno di "&amp;IMPOSTAZIONI!$C$6&amp;" giorni","")&amp;IF(AND($C245&lt;&gt;"",$C245&gt;=TODAY(),$I245&lt;&gt;"",$C245-$I245&gt;IMPOSTAZIONI!$C$7)," · rientro oltre "&amp;IMPOSTAZIONI!$C$7&amp;" giorni",""),4,300)))</f>
        <v/>
      </c>
      <c r="G245" s="16" t="n"/>
      <c r="H245" s="11" t="n"/>
      <c r="I245" s="13" t="n"/>
      <c r="J245" s="17">
        <f>IF($I245="","",TODAY()-$I245)</f>
        <v/>
      </c>
      <c r="K245" s="17">
        <f>IF($C245="","",$C245-TODAY())</f>
        <v/>
      </c>
      <c r="L245" s="15">
        <f>IF($A245="","",N($D245)&amp;"/"&amp;IMPOSTAZIONI!$C$5)</f>
        <v/>
      </c>
      <c r="M245" s="15">
        <f>IF($S245="","",IF($S245="RECUPERA CON INCENTIVO",INCENTIVI!$C$7,IF($S245="RICHIAMO MANTENIMENTO",INCENTIVI!$C$6,IF(OR($S245="FUORI FINESTRA",$S245="ULTIMA SEDUTA"),INCENTIVI!$C$5,""))))</f>
        <v/>
      </c>
      <c r="N245" s="18" t="n"/>
      <c r="O245" s="19">
        <f>IF($A245="","",N($D245)*N($N245))</f>
        <v/>
      </c>
      <c r="P245" s="19">
        <f>IF($A245="","",MAX(0,(IMPOSTAZIONI!$C$5-N($D245))*N($N245)))</f>
        <v/>
      </c>
      <c r="Q245" s="13" t="n"/>
      <c r="R245" s="11" t="n"/>
      <c r="S245" s="15">
        <f>IF($A245="","",IF(AND($C245&lt;&gt;"",$C245&lt;TODAY(),OR($I245="",$I245&lt;$C245)),"APPUNTAMENTO SALTATO",IF(AND($C245&lt;&gt;"",$C245-TODAY()=1),"CONFERMA DOMANI",IF(AND($C245&lt;&gt;"",$C245-TODAY()=IMPOSTAZIONI!$C$8),"CHIAMA PER CONFERMA",IF(AND($C245&lt;&gt;"",$C245&gt;=TODAY()),"",IF($E245="Sospesa","",IF($E245="Persa","RECUPERA CON INCENTIVO",IF(AND($I245&lt;&gt;"",TODAY()&gt;=EDATE($I245,IMPOSTAZIONI!$C$10)),"RECUPERA CON INCENTIVO",IF($E245="Mantenimento",IF(AND($I245&lt;&gt;"",TODAY()-$I245&gt;=IMPOSTAZIONI!$C$9),"RICHIAMO MANTENIMENTO",""),IF($E245="In ciclo",IF(N($D245)&gt;=IMPOSTAZIONI!$C$5,"ULTIMA SEDUTA",IF(AND($I245&lt;&gt;"",TODAY()-$I245&gt;IMPOSTAZIONI!$C$7),"FUORI FINESTRA","PRENDI APPUNTAMENTO")),IF($E245="Da contattare","PRENDI APPUNTAMENTO","")))))))))))</f>
        <v/>
      </c>
      <c r="T245" s="17">
        <f>IF($S245="","",IFERROR(MATCH($S245,IMPOSTAZIONI!$F$5:$F$12,0),9)*100000000+(9999-MIN(9999,ROUND(N($O245)/100,0)))*10000+ROW())</f>
        <v/>
      </c>
    </row>
    <row r="246">
      <c r="A246" s="11" t="n"/>
      <c r="B246" s="12">
        <f>IF($S246="","",IFERROR(MATCH($S246,IMPOSTAZIONI!$F$5:$F$12,0),9)&amp;" · "&amp;$S246)</f>
        <v/>
      </c>
      <c r="C246" s="13" t="n"/>
      <c r="D246" s="14" t="n"/>
      <c r="E246" s="11" t="n"/>
      <c r="F246" s="15">
        <f>IF($A246="","",IF(LEN(IF(AND($C246&lt;&gt;"",$C246=TODAY())," · oggi in centro","")&amp;IF(AND($C246&lt;&gt;"",$C246&gt;=TODAY(),N($D246)+1&gt;=IMPOSTAZIONI!$C$5)," · ultima del ciclo, proponi il mantenimento","")&amp;IF(AND($C246&lt;&gt;"",$C246&gt;=TODAY(),$I246&lt;&gt;"",$C246-$I246&lt;IMPOSTAZIONI!$C$6)," · rientro anticipato, meno di "&amp;IMPOSTAZIONI!$C$6&amp;" giorni","")&amp;IF(AND($C246&lt;&gt;"",$C246&gt;=TODAY(),$I246&lt;&gt;"",$C246-$I246&gt;IMPOSTAZIONI!$C$7)," · rientro oltre "&amp;IMPOSTAZIONI!$C$7&amp;" giorni",""))=0,"",MID(IF(AND($C246&lt;&gt;"",$C246=TODAY())," · oggi in centro","")&amp;IF(AND($C246&lt;&gt;"",$C246&gt;=TODAY(),N($D246)+1&gt;=IMPOSTAZIONI!$C$5)," · ultima del ciclo, proponi il mantenimento","")&amp;IF(AND($C246&lt;&gt;"",$C246&gt;=TODAY(),$I246&lt;&gt;"",$C246-$I246&lt;IMPOSTAZIONI!$C$6)," · rientro anticipato, meno di "&amp;IMPOSTAZIONI!$C$6&amp;" giorni","")&amp;IF(AND($C246&lt;&gt;"",$C246&gt;=TODAY(),$I246&lt;&gt;"",$C246-$I246&gt;IMPOSTAZIONI!$C$7)," · rientro oltre "&amp;IMPOSTAZIONI!$C$7&amp;" giorni",""),4,300)))</f>
        <v/>
      </c>
      <c r="G246" s="16" t="n"/>
      <c r="H246" s="11" t="n"/>
      <c r="I246" s="13" t="n"/>
      <c r="J246" s="17">
        <f>IF($I246="","",TODAY()-$I246)</f>
        <v/>
      </c>
      <c r="K246" s="17">
        <f>IF($C246="","",$C246-TODAY())</f>
        <v/>
      </c>
      <c r="L246" s="15">
        <f>IF($A246="","",N($D246)&amp;"/"&amp;IMPOSTAZIONI!$C$5)</f>
        <v/>
      </c>
      <c r="M246" s="15">
        <f>IF($S246="","",IF($S246="RECUPERA CON INCENTIVO",INCENTIVI!$C$7,IF($S246="RICHIAMO MANTENIMENTO",INCENTIVI!$C$6,IF(OR($S246="FUORI FINESTRA",$S246="ULTIMA SEDUTA"),INCENTIVI!$C$5,""))))</f>
        <v/>
      </c>
      <c r="N246" s="18" t="n"/>
      <c r="O246" s="19">
        <f>IF($A246="","",N($D246)*N($N246))</f>
        <v/>
      </c>
      <c r="P246" s="19">
        <f>IF($A246="","",MAX(0,(IMPOSTAZIONI!$C$5-N($D246))*N($N246)))</f>
        <v/>
      </c>
      <c r="Q246" s="13" t="n"/>
      <c r="R246" s="11" t="n"/>
      <c r="S246" s="15">
        <f>IF($A246="","",IF(AND($C246&lt;&gt;"",$C246&lt;TODAY(),OR($I246="",$I246&lt;$C246)),"APPUNTAMENTO SALTATO",IF(AND($C246&lt;&gt;"",$C246-TODAY()=1),"CONFERMA DOMANI",IF(AND($C246&lt;&gt;"",$C246-TODAY()=IMPOSTAZIONI!$C$8),"CHIAMA PER CONFERMA",IF(AND($C246&lt;&gt;"",$C246&gt;=TODAY()),"",IF($E246="Sospesa","",IF($E246="Persa","RECUPERA CON INCENTIVO",IF(AND($I246&lt;&gt;"",TODAY()&gt;=EDATE($I246,IMPOSTAZIONI!$C$10)),"RECUPERA CON INCENTIVO",IF($E246="Mantenimento",IF(AND($I246&lt;&gt;"",TODAY()-$I246&gt;=IMPOSTAZIONI!$C$9),"RICHIAMO MANTENIMENTO",""),IF($E246="In ciclo",IF(N($D246)&gt;=IMPOSTAZIONI!$C$5,"ULTIMA SEDUTA",IF(AND($I246&lt;&gt;"",TODAY()-$I246&gt;IMPOSTAZIONI!$C$7),"FUORI FINESTRA","PRENDI APPUNTAMENTO")),IF($E246="Da contattare","PRENDI APPUNTAMENTO","")))))))))))</f>
        <v/>
      </c>
      <c r="T246" s="17">
        <f>IF($S246="","",IFERROR(MATCH($S246,IMPOSTAZIONI!$F$5:$F$12,0),9)*100000000+(9999-MIN(9999,ROUND(N($O246)/100,0)))*10000+ROW())</f>
        <v/>
      </c>
    </row>
    <row r="247">
      <c r="A247" s="11" t="n"/>
      <c r="B247" s="12">
        <f>IF($S247="","",IFERROR(MATCH($S247,IMPOSTAZIONI!$F$5:$F$12,0),9)&amp;" · "&amp;$S247)</f>
        <v/>
      </c>
      <c r="C247" s="13" t="n"/>
      <c r="D247" s="14" t="n"/>
      <c r="E247" s="11" t="n"/>
      <c r="F247" s="15">
        <f>IF($A247="","",IF(LEN(IF(AND($C247&lt;&gt;"",$C247=TODAY())," · oggi in centro","")&amp;IF(AND($C247&lt;&gt;"",$C247&gt;=TODAY(),N($D247)+1&gt;=IMPOSTAZIONI!$C$5)," · ultima del ciclo, proponi il mantenimento","")&amp;IF(AND($C247&lt;&gt;"",$C247&gt;=TODAY(),$I247&lt;&gt;"",$C247-$I247&lt;IMPOSTAZIONI!$C$6)," · rientro anticipato, meno di "&amp;IMPOSTAZIONI!$C$6&amp;" giorni","")&amp;IF(AND($C247&lt;&gt;"",$C247&gt;=TODAY(),$I247&lt;&gt;"",$C247-$I247&gt;IMPOSTAZIONI!$C$7)," · rientro oltre "&amp;IMPOSTAZIONI!$C$7&amp;" giorni",""))=0,"",MID(IF(AND($C247&lt;&gt;"",$C247=TODAY())," · oggi in centro","")&amp;IF(AND($C247&lt;&gt;"",$C247&gt;=TODAY(),N($D247)+1&gt;=IMPOSTAZIONI!$C$5)," · ultima del ciclo, proponi il mantenimento","")&amp;IF(AND($C247&lt;&gt;"",$C247&gt;=TODAY(),$I247&lt;&gt;"",$C247-$I247&lt;IMPOSTAZIONI!$C$6)," · rientro anticipato, meno di "&amp;IMPOSTAZIONI!$C$6&amp;" giorni","")&amp;IF(AND($C247&lt;&gt;"",$C247&gt;=TODAY(),$I247&lt;&gt;"",$C247-$I247&gt;IMPOSTAZIONI!$C$7)," · rientro oltre "&amp;IMPOSTAZIONI!$C$7&amp;" giorni",""),4,300)))</f>
        <v/>
      </c>
      <c r="G247" s="16" t="n"/>
      <c r="H247" s="11" t="n"/>
      <c r="I247" s="13" t="n"/>
      <c r="J247" s="17">
        <f>IF($I247="","",TODAY()-$I247)</f>
        <v/>
      </c>
      <c r="K247" s="17">
        <f>IF($C247="","",$C247-TODAY())</f>
        <v/>
      </c>
      <c r="L247" s="15">
        <f>IF($A247="","",N($D247)&amp;"/"&amp;IMPOSTAZIONI!$C$5)</f>
        <v/>
      </c>
      <c r="M247" s="15">
        <f>IF($S247="","",IF($S247="RECUPERA CON INCENTIVO",INCENTIVI!$C$7,IF($S247="RICHIAMO MANTENIMENTO",INCENTIVI!$C$6,IF(OR($S247="FUORI FINESTRA",$S247="ULTIMA SEDUTA"),INCENTIVI!$C$5,""))))</f>
        <v/>
      </c>
      <c r="N247" s="18" t="n"/>
      <c r="O247" s="19">
        <f>IF($A247="","",N($D247)*N($N247))</f>
        <v/>
      </c>
      <c r="P247" s="19">
        <f>IF($A247="","",MAX(0,(IMPOSTAZIONI!$C$5-N($D247))*N($N247)))</f>
        <v/>
      </c>
      <c r="Q247" s="13" t="n"/>
      <c r="R247" s="11" t="n"/>
      <c r="S247" s="15">
        <f>IF($A247="","",IF(AND($C247&lt;&gt;"",$C247&lt;TODAY(),OR($I247="",$I247&lt;$C247)),"APPUNTAMENTO SALTATO",IF(AND($C247&lt;&gt;"",$C247-TODAY()=1),"CONFERMA DOMANI",IF(AND($C247&lt;&gt;"",$C247-TODAY()=IMPOSTAZIONI!$C$8),"CHIAMA PER CONFERMA",IF(AND($C247&lt;&gt;"",$C247&gt;=TODAY()),"",IF($E247="Sospesa","",IF($E247="Persa","RECUPERA CON INCENTIVO",IF(AND($I247&lt;&gt;"",TODAY()&gt;=EDATE($I247,IMPOSTAZIONI!$C$10)),"RECUPERA CON INCENTIVO",IF($E247="Mantenimento",IF(AND($I247&lt;&gt;"",TODAY()-$I247&gt;=IMPOSTAZIONI!$C$9),"RICHIAMO MANTENIMENTO",""),IF($E247="In ciclo",IF(N($D247)&gt;=IMPOSTAZIONI!$C$5,"ULTIMA SEDUTA",IF(AND($I247&lt;&gt;"",TODAY()-$I247&gt;IMPOSTAZIONI!$C$7),"FUORI FINESTRA","PRENDI APPUNTAMENTO")),IF($E247="Da contattare","PRENDI APPUNTAMENTO","")))))))))))</f>
        <v/>
      </c>
      <c r="T247" s="17">
        <f>IF($S247="","",IFERROR(MATCH($S247,IMPOSTAZIONI!$F$5:$F$12,0),9)*100000000+(9999-MIN(9999,ROUND(N($O247)/100,0)))*10000+ROW())</f>
        <v/>
      </c>
    </row>
    <row r="248">
      <c r="A248" s="11" t="n"/>
      <c r="B248" s="12">
        <f>IF($S248="","",IFERROR(MATCH($S248,IMPOSTAZIONI!$F$5:$F$12,0),9)&amp;" · "&amp;$S248)</f>
        <v/>
      </c>
      <c r="C248" s="13" t="n"/>
      <c r="D248" s="14" t="n"/>
      <c r="E248" s="11" t="n"/>
      <c r="F248" s="15">
        <f>IF($A248="","",IF(LEN(IF(AND($C248&lt;&gt;"",$C248=TODAY())," · oggi in centro","")&amp;IF(AND($C248&lt;&gt;"",$C248&gt;=TODAY(),N($D248)+1&gt;=IMPOSTAZIONI!$C$5)," · ultima del ciclo, proponi il mantenimento","")&amp;IF(AND($C248&lt;&gt;"",$C248&gt;=TODAY(),$I248&lt;&gt;"",$C248-$I248&lt;IMPOSTAZIONI!$C$6)," · rientro anticipato, meno di "&amp;IMPOSTAZIONI!$C$6&amp;" giorni","")&amp;IF(AND($C248&lt;&gt;"",$C248&gt;=TODAY(),$I248&lt;&gt;"",$C248-$I248&gt;IMPOSTAZIONI!$C$7)," · rientro oltre "&amp;IMPOSTAZIONI!$C$7&amp;" giorni",""))=0,"",MID(IF(AND($C248&lt;&gt;"",$C248=TODAY())," · oggi in centro","")&amp;IF(AND($C248&lt;&gt;"",$C248&gt;=TODAY(),N($D248)+1&gt;=IMPOSTAZIONI!$C$5)," · ultima del ciclo, proponi il mantenimento","")&amp;IF(AND($C248&lt;&gt;"",$C248&gt;=TODAY(),$I248&lt;&gt;"",$C248-$I248&lt;IMPOSTAZIONI!$C$6)," · rientro anticipato, meno di "&amp;IMPOSTAZIONI!$C$6&amp;" giorni","")&amp;IF(AND($C248&lt;&gt;"",$C248&gt;=TODAY(),$I248&lt;&gt;"",$C248-$I248&gt;IMPOSTAZIONI!$C$7)," · rientro oltre "&amp;IMPOSTAZIONI!$C$7&amp;" giorni",""),4,300)))</f>
        <v/>
      </c>
      <c r="G248" s="16" t="n"/>
      <c r="H248" s="11" t="n"/>
      <c r="I248" s="13" t="n"/>
      <c r="J248" s="17">
        <f>IF($I248="","",TODAY()-$I248)</f>
        <v/>
      </c>
      <c r="K248" s="17">
        <f>IF($C248="","",$C248-TODAY())</f>
        <v/>
      </c>
      <c r="L248" s="15">
        <f>IF($A248="","",N($D248)&amp;"/"&amp;IMPOSTAZIONI!$C$5)</f>
        <v/>
      </c>
      <c r="M248" s="15">
        <f>IF($S248="","",IF($S248="RECUPERA CON INCENTIVO",INCENTIVI!$C$7,IF($S248="RICHIAMO MANTENIMENTO",INCENTIVI!$C$6,IF(OR($S248="FUORI FINESTRA",$S248="ULTIMA SEDUTA"),INCENTIVI!$C$5,""))))</f>
        <v/>
      </c>
      <c r="N248" s="18" t="n"/>
      <c r="O248" s="19">
        <f>IF($A248="","",N($D248)*N($N248))</f>
        <v/>
      </c>
      <c r="P248" s="19">
        <f>IF($A248="","",MAX(0,(IMPOSTAZIONI!$C$5-N($D248))*N($N248)))</f>
        <v/>
      </c>
      <c r="Q248" s="13" t="n"/>
      <c r="R248" s="11" t="n"/>
      <c r="S248" s="15">
        <f>IF($A248="","",IF(AND($C248&lt;&gt;"",$C248&lt;TODAY(),OR($I248="",$I248&lt;$C248)),"APPUNTAMENTO SALTATO",IF(AND($C248&lt;&gt;"",$C248-TODAY()=1),"CONFERMA DOMANI",IF(AND($C248&lt;&gt;"",$C248-TODAY()=IMPOSTAZIONI!$C$8),"CHIAMA PER CONFERMA",IF(AND($C248&lt;&gt;"",$C248&gt;=TODAY()),"",IF($E248="Sospesa","",IF($E248="Persa","RECUPERA CON INCENTIVO",IF(AND($I248&lt;&gt;"",TODAY()&gt;=EDATE($I248,IMPOSTAZIONI!$C$10)),"RECUPERA CON INCENTIVO",IF($E248="Mantenimento",IF(AND($I248&lt;&gt;"",TODAY()-$I248&gt;=IMPOSTAZIONI!$C$9),"RICHIAMO MANTENIMENTO",""),IF($E248="In ciclo",IF(N($D248)&gt;=IMPOSTAZIONI!$C$5,"ULTIMA SEDUTA",IF(AND($I248&lt;&gt;"",TODAY()-$I248&gt;IMPOSTAZIONI!$C$7),"FUORI FINESTRA","PRENDI APPUNTAMENTO")),IF($E248="Da contattare","PRENDI APPUNTAMENTO","")))))))))))</f>
        <v/>
      </c>
      <c r="T248" s="17">
        <f>IF($S248="","",IFERROR(MATCH($S248,IMPOSTAZIONI!$F$5:$F$12,0),9)*100000000+(9999-MIN(9999,ROUND(N($O248)/100,0)))*10000+ROW())</f>
        <v/>
      </c>
    </row>
    <row r="249">
      <c r="A249" s="11" t="n"/>
      <c r="B249" s="12">
        <f>IF($S249="","",IFERROR(MATCH($S249,IMPOSTAZIONI!$F$5:$F$12,0),9)&amp;" · "&amp;$S249)</f>
        <v/>
      </c>
      <c r="C249" s="13" t="n"/>
      <c r="D249" s="14" t="n"/>
      <c r="E249" s="11" t="n"/>
      <c r="F249" s="15">
        <f>IF($A249="","",IF(LEN(IF(AND($C249&lt;&gt;"",$C249=TODAY())," · oggi in centro","")&amp;IF(AND($C249&lt;&gt;"",$C249&gt;=TODAY(),N($D249)+1&gt;=IMPOSTAZIONI!$C$5)," · ultima del ciclo, proponi il mantenimento","")&amp;IF(AND($C249&lt;&gt;"",$C249&gt;=TODAY(),$I249&lt;&gt;"",$C249-$I249&lt;IMPOSTAZIONI!$C$6)," · rientro anticipato, meno di "&amp;IMPOSTAZIONI!$C$6&amp;" giorni","")&amp;IF(AND($C249&lt;&gt;"",$C249&gt;=TODAY(),$I249&lt;&gt;"",$C249-$I249&gt;IMPOSTAZIONI!$C$7)," · rientro oltre "&amp;IMPOSTAZIONI!$C$7&amp;" giorni",""))=0,"",MID(IF(AND($C249&lt;&gt;"",$C249=TODAY())," · oggi in centro","")&amp;IF(AND($C249&lt;&gt;"",$C249&gt;=TODAY(),N($D249)+1&gt;=IMPOSTAZIONI!$C$5)," · ultima del ciclo, proponi il mantenimento","")&amp;IF(AND($C249&lt;&gt;"",$C249&gt;=TODAY(),$I249&lt;&gt;"",$C249-$I249&lt;IMPOSTAZIONI!$C$6)," · rientro anticipato, meno di "&amp;IMPOSTAZIONI!$C$6&amp;" giorni","")&amp;IF(AND($C249&lt;&gt;"",$C249&gt;=TODAY(),$I249&lt;&gt;"",$C249-$I249&gt;IMPOSTAZIONI!$C$7)," · rientro oltre "&amp;IMPOSTAZIONI!$C$7&amp;" giorni",""),4,300)))</f>
        <v/>
      </c>
      <c r="G249" s="16" t="n"/>
      <c r="H249" s="11" t="n"/>
      <c r="I249" s="13" t="n"/>
      <c r="J249" s="17">
        <f>IF($I249="","",TODAY()-$I249)</f>
        <v/>
      </c>
      <c r="K249" s="17">
        <f>IF($C249="","",$C249-TODAY())</f>
        <v/>
      </c>
      <c r="L249" s="15">
        <f>IF($A249="","",N($D249)&amp;"/"&amp;IMPOSTAZIONI!$C$5)</f>
        <v/>
      </c>
      <c r="M249" s="15">
        <f>IF($S249="","",IF($S249="RECUPERA CON INCENTIVO",INCENTIVI!$C$7,IF($S249="RICHIAMO MANTENIMENTO",INCENTIVI!$C$6,IF(OR($S249="FUORI FINESTRA",$S249="ULTIMA SEDUTA"),INCENTIVI!$C$5,""))))</f>
        <v/>
      </c>
      <c r="N249" s="18" t="n"/>
      <c r="O249" s="19">
        <f>IF($A249="","",N($D249)*N($N249))</f>
        <v/>
      </c>
      <c r="P249" s="19">
        <f>IF($A249="","",MAX(0,(IMPOSTAZIONI!$C$5-N($D249))*N($N249)))</f>
        <v/>
      </c>
      <c r="Q249" s="13" t="n"/>
      <c r="R249" s="11" t="n"/>
      <c r="S249" s="15">
        <f>IF($A249="","",IF(AND($C249&lt;&gt;"",$C249&lt;TODAY(),OR($I249="",$I249&lt;$C249)),"APPUNTAMENTO SALTATO",IF(AND($C249&lt;&gt;"",$C249-TODAY()=1),"CONFERMA DOMANI",IF(AND($C249&lt;&gt;"",$C249-TODAY()=IMPOSTAZIONI!$C$8),"CHIAMA PER CONFERMA",IF(AND($C249&lt;&gt;"",$C249&gt;=TODAY()),"",IF($E249="Sospesa","",IF($E249="Persa","RECUPERA CON INCENTIVO",IF(AND($I249&lt;&gt;"",TODAY()&gt;=EDATE($I249,IMPOSTAZIONI!$C$10)),"RECUPERA CON INCENTIVO",IF($E249="Mantenimento",IF(AND($I249&lt;&gt;"",TODAY()-$I249&gt;=IMPOSTAZIONI!$C$9),"RICHIAMO MANTENIMENTO",""),IF($E249="In ciclo",IF(N($D249)&gt;=IMPOSTAZIONI!$C$5,"ULTIMA SEDUTA",IF(AND($I249&lt;&gt;"",TODAY()-$I249&gt;IMPOSTAZIONI!$C$7),"FUORI FINESTRA","PRENDI APPUNTAMENTO")),IF($E249="Da contattare","PRENDI APPUNTAMENTO","")))))))))))</f>
        <v/>
      </c>
      <c r="T249" s="17">
        <f>IF($S249="","",IFERROR(MATCH($S249,IMPOSTAZIONI!$F$5:$F$12,0),9)*100000000+(9999-MIN(9999,ROUND(N($O249)/100,0)))*10000+ROW())</f>
        <v/>
      </c>
    </row>
    <row r="250">
      <c r="A250" s="11" t="n"/>
      <c r="B250" s="12">
        <f>IF($S250="","",IFERROR(MATCH($S250,IMPOSTAZIONI!$F$5:$F$12,0),9)&amp;" · "&amp;$S250)</f>
        <v/>
      </c>
      <c r="C250" s="13" t="n"/>
      <c r="D250" s="14" t="n"/>
      <c r="E250" s="11" t="n"/>
      <c r="F250" s="15">
        <f>IF($A250="","",IF(LEN(IF(AND($C250&lt;&gt;"",$C250=TODAY())," · oggi in centro","")&amp;IF(AND($C250&lt;&gt;"",$C250&gt;=TODAY(),N($D250)+1&gt;=IMPOSTAZIONI!$C$5)," · ultima del ciclo, proponi il mantenimento","")&amp;IF(AND($C250&lt;&gt;"",$C250&gt;=TODAY(),$I250&lt;&gt;"",$C250-$I250&lt;IMPOSTAZIONI!$C$6)," · rientro anticipato, meno di "&amp;IMPOSTAZIONI!$C$6&amp;" giorni","")&amp;IF(AND($C250&lt;&gt;"",$C250&gt;=TODAY(),$I250&lt;&gt;"",$C250-$I250&gt;IMPOSTAZIONI!$C$7)," · rientro oltre "&amp;IMPOSTAZIONI!$C$7&amp;" giorni",""))=0,"",MID(IF(AND($C250&lt;&gt;"",$C250=TODAY())," · oggi in centro","")&amp;IF(AND($C250&lt;&gt;"",$C250&gt;=TODAY(),N($D250)+1&gt;=IMPOSTAZIONI!$C$5)," · ultima del ciclo, proponi il mantenimento","")&amp;IF(AND($C250&lt;&gt;"",$C250&gt;=TODAY(),$I250&lt;&gt;"",$C250-$I250&lt;IMPOSTAZIONI!$C$6)," · rientro anticipato, meno di "&amp;IMPOSTAZIONI!$C$6&amp;" giorni","")&amp;IF(AND($C250&lt;&gt;"",$C250&gt;=TODAY(),$I250&lt;&gt;"",$C250-$I250&gt;IMPOSTAZIONI!$C$7)," · rientro oltre "&amp;IMPOSTAZIONI!$C$7&amp;" giorni",""),4,300)))</f>
        <v/>
      </c>
      <c r="G250" s="16" t="n"/>
      <c r="H250" s="11" t="n"/>
      <c r="I250" s="13" t="n"/>
      <c r="J250" s="17">
        <f>IF($I250="","",TODAY()-$I250)</f>
        <v/>
      </c>
      <c r="K250" s="17">
        <f>IF($C250="","",$C250-TODAY())</f>
        <v/>
      </c>
      <c r="L250" s="15">
        <f>IF($A250="","",N($D250)&amp;"/"&amp;IMPOSTAZIONI!$C$5)</f>
        <v/>
      </c>
      <c r="M250" s="15">
        <f>IF($S250="","",IF($S250="RECUPERA CON INCENTIVO",INCENTIVI!$C$7,IF($S250="RICHIAMO MANTENIMENTO",INCENTIVI!$C$6,IF(OR($S250="FUORI FINESTRA",$S250="ULTIMA SEDUTA"),INCENTIVI!$C$5,""))))</f>
        <v/>
      </c>
      <c r="N250" s="18" t="n"/>
      <c r="O250" s="19">
        <f>IF($A250="","",N($D250)*N($N250))</f>
        <v/>
      </c>
      <c r="P250" s="19">
        <f>IF($A250="","",MAX(0,(IMPOSTAZIONI!$C$5-N($D250))*N($N250)))</f>
        <v/>
      </c>
      <c r="Q250" s="13" t="n"/>
      <c r="R250" s="11" t="n"/>
      <c r="S250" s="15">
        <f>IF($A250="","",IF(AND($C250&lt;&gt;"",$C250&lt;TODAY(),OR($I250="",$I250&lt;$C250)),"APPUNTAMENTO SALTATO",IF(AND($C250&lt;&gt;"",$C250-TODAY()=1),"CONFERMA DOMANI",IF(AND($C250&lt;&gt;"",$C250-TODAY()=IMPOSTAZIONI!$C$8),"CHIAMA PER CONFERMA",IF(AND($C250&lt;&gt;"",$C250&gt;=TODAY()),"",IF($E250="Sospesa","",IF($E250="Persa","RECUPERA CON INCENTIVO",IF(AND($I250&lt;&gt;"",TODAY()&gt;=EDATE($I250,IMPOSTAZIONI!$C$10)),"RECUPERA CON INCENTIVO",IF($E250="Mantenimento",IF(AND($I250&lt;&gt;"",TODAY()-$I250&gt;=IMPOSTAZIONI!$C$9),"RICHIAMO MANTENIMENTO",""),IF($E250="In ciclo",IF(N($D250)&gt;=IMPOSTAZIONI!$C$5,"ULTIMA SEDUTA",IF(AND($I250&lt;&gt;"",TODAY()-$I250&gt;IMPOSTAZIONI!$C$7),"FUORI FINESTRA","PRENDI APPUNTAMENTO")),IF($E250="Da contattare","PRENDI APPUNTAMENTO","")))))))))))</f>
        <v/>
      </c>
      <c r="T250" s="17">
        <f>IF($S250="","",IFERROR(MATCH($S250,IMPOSTAZIONI!$F$5:$F$12,0),9)*100000000+(9999-MIN(9999,ROUND(N($O250)/100,0)))*10000+ROW())</f>
        <v/>
      </c>
    </row>
    <row r="251">
      <c r="A251" s="11" t="n"/>
      <c r="B251" s="12">
        <f>IF($S251="","",IFERROR(MATCH($S251,IMPOSTAZIONI!$F$5:$F$12,0),9)&amp;" · "&amp;$S251)</f>
        <v/>
      </c>
      <c r="C251" s="13" t="n"/>
      <c r="D251" s="14" t="n"/>
      <c r="E251" s="11" t="n"/>
      <c r="F251" s="15">
        <f>IF($A251="","",IF(LEN(IF(AND($C251&lt;&gt;"",$C251=TODAY())," · oggi in centro","")&amp;IF(AND($C251&lt;&gt;"",$C251&gt;=TODAY(),N($D251)+1&gt;=IMPOSTAZIONI!$C$5)," · ultima del ciclo, proponi il mantenimento","")&amp;IF(AND($C251&lt;&gt;"",$C251&gt;=TODAY(),$I251&lt;&gt;"",$C251-$I251&lt;IMPOSTAZIONI!$C$6)," · rientro anticipato, meno di "&amp;IMPOSTAZIONI!$C$6&amp;" giorni","")&amp;IF(AND($C251&lt;&gt;"",$C251&gt;=TODAY(),$I251&lt;&gt;"",$C251-$I251&gt;IMPOSTAZIONI!$C$7)," · rientro oltre "&amp;IMPOSTAZIONI!$C$7&amp;" giorni",""))=0,"",MID(IF(AND($C251&lt;&gt;"",$C251=TODAY())," · oggi in centro","")&amp;IF(AND($C251&lt;&gt;"",$C251&gt;=TODAY(),N($D251)+1&gt;=IMPOSTAZIONI!$C$5)," · ultima del ciclo, proponi il mantenimento","")&amp;IF(AND($C251&lt;&gt;"",$C251&gt;=TODAY(),$I251&lt;&gt;"",$C251-$I251&lt;IMPOSTAZIONI!$C$6)," · rientro anticipato, meno di "&amp;IMPOSTAZIONI!$C$6&amp;" giorni","")&amp;IF(AND($C251&lt;&gt;"",$C251&gt;=TODAY(),$I251&lt;&gt;"",$C251-$I251&gt;IMPOSTAZIONI!$C$7)," · rientro oltre "&amp;IMPOSTAZIONI!$C$7&amp;" giorni",""),4,300)))</f>
        <v/>
      </c>
      <c r="G251" s="16" t="n"/>
      <c r="H251" s="11" t="n"/>
      <c r="I251" s="13" t="n"/>
      <c r="J251" s="17">
        <f>IF($I251="","",TODAY()-$I251)</f>
        <v/>
      </c>
      <c r="K251" s="17">
        <f>IF($C251="","",$C251-TODAY())</f>
        <v/>
      </c>
      <c r="L251" s="15">
        <f>IF($A251="","",N($D251)&amp;"/"&amp;IMPOSTAZIONI!$C$5)</f>
        <v/>
      </c>
      <c r="M251" s="15">
        <f>IF($S251="","",IF($S251="RECUPERA CON INCENTIVO",INCENTIVI!$C$7,IF($S251="RICHIAMO MANTENIMENTO",INCENTIVI!$C$6,IF(OR($S251="FUORI FINESTRA",$S251="ULTIMA SEDUTA"),INCENTIVI!$C$5,""))))</f>
        <v/>
      </c>
      <c r="N251" s="18" t="n"/>
      <c r="O251" s="19">
        <f>IF($A251="","",N($D251)*N($N251))</f>
        <v/>
      </c>
      <c r="P251" s="19">
        <f>IF($A251="","",MAX(0,(IMPOSTAZIONI!$C$5-N($D251))*N($N251)))</f>
        <v/>
      </c>
      <c r="Q251" s="13" t="n"/>
      <c r="R251" s="11" t="n"/>
      <c r="S251" s="15">
        <f>IF($A251="","",IF(AND($C251&lt;&gt;"",$C251&lt;TODAY(),OR($I251="",$I251&lt;$C251)),"APPUNTAMENTO SALTATO",IF(AND($C251&lt;&gt;"",$C251-TODAY()=1),"CONFERMA DOMANI",IF(AND($C251&lt;&gt;"",$C251-TODAY()=IMPOSTAZIONI!$C$8),"CHIAMA PER CONFERMA",IF(AND($C251&lt;&gt;"",$C251&gt;=TODAY()),"",IF($E251="Sospesa","",IF($E251="Persa","RECUPERA CON INCENTIVO",IF(AND($I251&lt;&gt;"",TODAY()&gt;=EDATE($I251,IMPOSTAZIONI!$C$10)),"RECUPERA CON INCENTIVO",IF($E251="Mantenimento",IF(AND($I251&lt;&gt;"",TODAY()-$I251&gt;=IMPOSTAZIONI!$C$9),"RICHIAMO MANTENIMENTO",""),IF($E251="In ciclo",IF(N($D251)&gt;=IMPOSTAZIONI!$C$5,"ULTIMA SEDUTA",IF(AND($I251&lt;&gt;"",TODAY()-$I251&gt;IMPOSTAZIONI!$C$7),"FUORI FINESTRA","PRENDI APPUNTAMENTO")),IF($E251="Da contattare","PRENDI APPUNTAMENTO","")))))))))))</f>
        <v/>
      </c>
      <c r="T251" s="17">
        <f>IF($S251="","",IFERROR(MATCH($S251,IMPOSTAZIONI!$F$5:$F$12,0),9)*100000000+(9999-MIN(9999,ROUND(N($O251)/100,0)))*10000+ROW())</f>
        <v/>
      </c>
    </row>
    <row r="252">
      <c r="A252" s="11" t="n"/>
      <c r="B252" s="12">
        <f>IF($S252="","",IFERROR(MATCH($S252,IMPOSTAZIONI!$F$5:$F$12,0),9)&amp;" · "&amp;$S252)</f>
        <v/>
      </c>
      <c r="C252" s="13" t="n"/>
      <c r="D252" s="14" t="n"/>
      <c r="E252" s="11" t="n"/>
      <c r="F252" s="15">
        <f>IF($A252="","",IF(LEN(IF(AND($C252&lt;&gt;"",$C252=TODAY())," · oggi in centro","")&amp;IF(AND($C252&lt;&gt;"",$C252&gt;=TODAY(),N($D252)+1&gt;=IMPOSTAZIONI!$C$5)," · ultima del ciclo, proponi il mantenimento","")&amp;IF(AND($C252&lt;&gt;"",$C252&gt;=TODAY(),$I252&lt;&gt;"",$C252-$I252&lt;IMPOSTAZIONI!$C$6)," · rientro anticipato, meno di "&amp;IMPOSTAZIONI!$C$6&amp;" giorni","")&amp;IF(AND($C252&lt;&gt;"",$C252&gt;=TODAY(),$I252&lt;&gt;"",$C252-$I252&gt;IMPOSTAZIONI!$C$7)," · rientro oltre "&amp;IMPOSTAZIONI!$C$7&amp;" giorni",""))=0,"",MID(IF(AND($C252&lt;&gt;"",$C252=TODAY())," · oggi in centro","")&amp;IF(AND($C252&lt;&gt;"",$C252&gt;=TODAY(),N($D252)+1&gt;=IMPOSTAZIONI!$C$5)," · ultima del ciclo, proponi il mantenimento","")&amp;IF(AND($C252&lt;&gt;"",$C252&gt;=TODAY(),$I252&lt;&gt;"",$C252-$I252&lt;IMPOSTAZIONI!$C$6)," · rientro anticipato, meno di "&amp;IMPOSTAZIONI!$C$6&amp;" giorni","")&amp;IF(AND($C252&lt;&gt;"",$C252&gt;=TODAY(),$I252&lt;&gt;"",$C252-$I252&gt;IMPOSTAZIONI!$C$7)," · rientro oltre "&amp;IMPOSTAZIONI!$C$7&amp;" giorni",""),4,300)))</f>
        <v/>
      </c>
      <c r="G252" s="16" t="n"/>
      <c r="H252" s="11" t="n"/>
      <c r="I252" s="13" t="n"/>
      <c r="J252" s="17">
        <f>IF($I252="","",TODAY()-$I252)</f>
        <v/>
      </c>
      <c r="K252" s="17">
        <f>IF($C252="","",$C252-TODAY())</f>
        <v/>
      </c>
      <c r="L252" s="15">
        <f>IF($A252="","",N($D252)&amp;"/"&amp;IMPOSTAZIONI!$C$5)</f>
        <v/>
      </c>
      <c r="M252" s="15">
        <f>IF($S252="","",IF($S252="RECUPERA CON INCENTIVO",INCENTIVI!$C$7,IF($S252="RICHIAMO MANTENIMENTO",INCENTIVI!$C$6,IF(OR($S252="FUORI FINESTRA",$S252="ULTIMA SEDUTA"),INCENTIVI!$C$5,""))))</f>
        <v/>
      </c>
      <c r="N252" s="18" t="n"/>
      <c r="O252" s="19">
        <f>IF($A252="","",N($D252)*N($N252))</f>
        <v/>
      </c>
      <c r="P252" s="19">
        <f>IF($A252="","",MAX(0,(IMPOSTAZIONI!$C$5-N($D252))*N($N252)))</f>
        <v/>
      </c>
      <c r="Q252" s="13" t="n"/>
      <c r="R252" s="11" t="n"/>
      <c r="S252" s="15">
        <f>IF($A252="","",IF(AND($C252&lt;&gt;"",$C252&lt;TODAY(),OR($I252="",$I252&lt;$C252)),"APPUNTAMENTO SALTATO",IF(AND($C252&lt;&gt;"",$C252-TODAY()=1),"CONFERMA DOMANI",IF(AND($C252&lt;&gt;"",$C252-TODAY()=IMPOSTAZIONI!$C$8),"CHIAMA PER CONFERMA",IF(AND($C252&lt;&gt;"",$C252&gt;=TODAY()),"",IF($E252="Sospesa","",IF($E252="Persa","RECUPERA CON INCENTIVO",IF(AND($I252&lt;&gt;"",TODAY()&gt;=EDATE($I252,IMPOSTAZIONI!$C$10)),"RECUPERA CON INCENTIVO",IF($E252="Mantenimento",IF(AND($I252&lt;&gt;"",TODAY()-$I252&gt;=IMPOSTAZIONI!$C$9),"RICHIAMO MANTENIMENTO",""),IF($E252="In ciclo",IF(N($D252)&gt;=IMPOSTAZIONI!$C$5,"ULTIMA SEDUTA",IF(AND($I252&lt;&gt;"",TODAY()-$I252&gt;IMPOSTAZIONI!$C$7),"FUORI FINESTRA","PRENDI APPUNTAMENTO")),IF($E252="Da contattare","PRENDI APPUNTAMENTO","")))))))))))</f>
        <v/>
      </c>
      <c r="T252" s="17">
        <f>IF($S252="","",IFERROR(MATCH($S252,IMPOSTAZIONI!$F$5:$F$12,0),9)*100000000+(9999-MIN(9999,ROUND(N($O252)/100,0)))*10000+ROW())</f>
        <v/>
      </c>
    </row>
    <row r="253">
      <c r="A253" s="11" t="n"/>
      <c r="B253" s="12">
        <f>IF($S253="","",IFERROR(MATCH($S253,IMPOSTAZIONI!$F$5:$F$12,0),9)&amp;" · "&amp;$S253)</f>
        <v/>
      </c>
      <c r="C253" s="13" t="n"/>
      <c r="D253" s="14" t="n"/>
      <c r="E253" s="11" t="n"/>
      <c r="F253" s="15">
        <f>IF($A253="","",IF(LEN(IF(AND($C253&lt;&gt;"",$C253=TODAY())," · oggi in centro","")&amp;IF(AND($C253&lt;&gt;"",$C253&gt;=TODAY(),N($D253)+1&gt;=IMPOSTAZIONI!$C$5)," · ultima del ciclo, proponi il mantenimento","")&amp;IF(AND($C253&lt;&gt;"",$C253&gt;=TODAY(),$I253&lt;&gt;"",$C253-$I253&lt;IMPOSTAZIONI!$C$6)," · rientro anticipato, meno di "&amp;IMPOSTAZIONI!$C$6&amp;" giorni","")&amp;IF(AND($C253&lt;&gt;"",$C253&gt;=TODAY(),$I253&lt;&gt;"",$C253-$I253&gt;IMPOSTAZIONI!$C$7)," · rientro oltre "&amp;IMPOSTAZIONI!$C$7&amp;" giorni",""))=0,"",MID(IF(AND($C253&lt;&gt;"",$C253=TODAY())," · oggi in centro","")&amp;IF(AND($C253&lt;&gt;"",$C253&gt;=TODAY(),N($D253)+1&gt;=IMPOSTAZIONI!$C$5)," · ultima del ciclo, proponi il mantenimento","")&amp;IF(AND($C253&lt;&gt;"",$C253&gt;=TODAY(),$I253&lt;&gt;"",$C253-$I253&lt;IMPOSTAZIONI!$C$6)," · rientro anticipato, meno di "&amp;IMPOSTAZIONI!$C$6&amp;" giorni","")&amp;IF(AND($C253&lt;&gt;"",$C253&gt;=TODAY(),$I253&lt;&gt;"",$C253-$I253&gt;IMPOSTAZIONI!$C$7)," · rientro oltre "&amp;IMPOSTAZIONI!$C$7&amp;" giorni",""),4,300)))</f>
        <v/>
      </c>
      <c r="G253" s="16" t="n"/>
      <c r="H253" s="11" t="n"/>
      <c r="I253" s="13" t="n"/>
      <c r="J253" s="17">
        <f>IF($I253="","",TODAY()-$I253)</f>
        <v/>
      </c>
      <c r="K253" s="17">
        <f>IF($C253="","",$C253-TODAY())</f>
        <v/>
      </c>
      <c r="L253" s="15">
        <f>IF($A253="","",N($D253)&amp;"/"&amp;IMPOSTAZIONI!$C$5)</f>
        <v/>
      </c>
      <c r="M253" s="15">
        <f>IF($S253="","",IF($S253="RECUPERA CON INCENTIVO",INCENTIVI!$C$7,IF($S253="RICHIAMO MANTENIMENTO",INCENTIVI!$C$6,IF(OR($S253="FUORI FINESTRA",$S253="ULTIMA SEDUTA"),INCENTIVI!$C$5,""))))</f>
        <v/>
      </c>
      <c r="N253" s="18" t="n"/>
      <c r="O253" s="19">
        <f>IF($A253="","",N($D253)*N($N253))</f>
        <v/>
      </c>
      <c r="P253" s="19">
        <f>IF($A253="","",MAX(0,(IMPOSTAZIONI!$C$5-N($D253))*N($N253)))</f>
        <v/>
      </c>
      <c r="Q253" s="13" t="n"/>
      <c r="R253" s="11" t="n"/>
      <c r="S253" s="15">
        <f>IF($A253="","",IF(AND($C253&lt;&gt;"",$C253&lt;TODAY(),OR($I253="",$I253&lt;$C253)),"APPUNTAMENTO SALTATO",IF(AND($C253&lt;&gt;"",$C253-TODAY()=1),"CONFERMA DOMANI",IF(AND($C253&lt;&gt;"",$C253-TODAY()=IMPOSTAZIONI!$C$8),"CHIAMA PER CONFERMA",IF(AND($C253&lt;&gt;"",$C253&gt;=TODAY()),"",IF($E253="Sospesa","",IF($E253="Persa","RECUPERA CON INCENTIVO",IF(AND($I253&lt;&gt;"",TODAY()&gt;=EDATE($I253,IMPOSTAZIONI!$C$10)),"RECUPERA CON INCENTIVO",IF($E253="Mantenimento",IF(AND($I253&lt;&gt;"",TODAY()-$I253&gt;=IMPOSTAZIONI!$C$9),"RICHIAMO MANTENIMENTO",""),IF($E253="In ciclo",IF(N($D253)&gt;=IMPOSTAZIONI!$C$5,"ULTIMA SEDUTA",IF(AND($I253&lt;&gt;"",TODAY()-$I253&gt;IMPOSTAZIONI!$C$7),"FUORI FINESTRA","PRENDI APPUNTAMENTO")),IF($E253="Da contattare","PRENDI APPUNTAMENTO","")))))))))))</f>
        <v/>
      </c>
      <c r="T253" s="17">
        <f>IF($S253="","",IFERROR(MATCH($S253,IMPOSTAZIONI!$F$5:$F$12,0),9)*100000000+(9999-MIN(9999,ROUND(N($O253)/100,0)))*10000+ROW())</f>
        <v/>
      </c>
    </row>
    <row r="254">
      <c r="A254" s="11" t="n"/>
      <c r="B254" s="12">
        <f>IF($S254="","",IFERROR(MATCH($S254,IMPOSTAZIONI!$F$5:$F$12,0),9)&amp;" · "&amp;$S254)</f>
        <v/>
      </c>
      <c r="C254" s="13" t="n"/>
      <c r="D254" s="14" t="n"/>
      <c r="E254" s="11" t="n"/>
      <c r="F254" s="15">
        <f>IF($A254="","",IF(LEN(IF(AND($C254&lt;&gt;"",$C254=TODAY())," · oggi in centro","")&amp;IF(AND($C254&lt;&gt;"",$C254&gt;=TODAY(),N($D254)+1&gt;=IMPOSTAZIONI!$C$5)," · ultima del ciclo, proponi il mantenimento","")&amp;IF(AND($C254&lt;&gt;"",$C254&gt;=TODAY(),$I254&lt;&gt;"",$C254-$I254&lt;IMPOSTAZIONI!$C$6)," · rientro anticipato, meno di "&amp;IMPOSTAZIONI!$C$6&amp;" giorni","")&amp;IF(AND($C254&lt;&gt;"",$C254&gt;=TODAY(),$I254&lt;&gt;"",$C254-$I254&gt;IMPOSTAZIONI!$C$7)," · rientro oltre "&amp;IMPOSTAZIONI!$C$7&amp;" giorni",""))=0,"",MID(IF(AND($C254&lt;&gt;"",$C254=TODAY())," · oggi in centro","")&amp;IF(AND($C254&lt;&gt;"",$C254&gt;=TODAY(),N($D254)+1&gt;=IMPOSTAZIONI!$C$5)," · ultima del ciclo, proponi il mantenimento","")&amp;IF(AND($C254&lt;&gt;"",$C254&gt;=TODAY(),$I254&lt;&gt;"",$C254-$I254&lt;IMPOSTAZIONI!$C$6)," · rientro anticipato, meno di "&amp;IMPOSTAZIONI!$C$6&amp;" giorni","")&amp;IF(AND($C254&lt;&gt;"",$C254&gt;=TODAY(),$I254&lt;&gt;"",$C254-$I254&gt;IMPOSTAZIONI!$C$7)," · rientro oltre "&amp;IMPOSTAZIONI!$C$7&amp;" giorni",""),4,300)))</f>
        <v/>
      </c>
      <c r="G254" s="16" t="n"/>
      <c r="H254" s="11" t="n"/>
      <c r="I254" s="13" t="n"/>
      <c r="J254" s="17">
        <f>IF($I254="","",TODAY()-$I254)</f>
        <v/>
      </c>
      <c r="K254" s="17">
        <f>IF($C254="","",$C254-TODAY())</f>
        <v/>
      </c>
      <c r="L254" s="15">
        <f>IF($A254="","",N($D254)&amp;"/"&amp;IMPOSTAZIONI!$C$5)</f>
        <v/>
      </c>
      <c r="M254" s="15">
        <f>IF($S254="","",IF($S254="RECUPERA CON INCENTIVO",INCENTIVI!$C$7,IF($S254="RICHIAMO MANTENIMENTO",INCENTIVI!$C$6,IF(OR($S254="FUORI FINESTRA",$S254="ULTIMA SEDUTA"),INCENTIVI!$C$5,""))))</f>
        <v/>
      </c>
      <c r="N254" s="18" t="n"/>
      <c r="O254" s="19">
        <f>IF($A254="","",N($D254)*N($N254))</f>
        <v/>
      </c>
      <c r="P254" s="19">
        <f>IF($A254="","",MAX(0,(IMPOSTAZIONI!$C$5-N($D254))*N($N254)))</f>
        <v/>
      </c>
      <c r="Q254" s="13" t="n"/>
      <c r="R254" s="11" t="n"/>
      <c r="S254" s="15">
        <f>IF($A254="","",IF(AND($C254&lt;&gt;"",$C254&lt;TODAY(),OR($I254="",$I254&lt;$C254)),"APPUNTAMENTO SALTATO",IF(AND($C254&lt;&gt;"",$C254-TODAY()=1),"CONFERMA DOMANI",IF(AND($C254&lt;&gt;"",$C254-TODAY()=IMPOSTAZIONI!$C$8),"CHIAMA PER CONFERMA",IF(AND($C254&lt;&gt;"",$C254&gt;=TODAY()),"",IF($E254="Sospesa","",IF($E254="Persa","RECUPERA CON INCENTIVO",IF(AND($I254&lt;&gt;"",TODAY()&gt;=EDATE($I254,IMPOSTAZIONI!$C$10)),"RECUPERA CON INCENTIVO",IF($E254="Mantenimento",IF(AND($I254&lt;&gt;"",TODAY()-$I254&gt;=IMPOSTAZIONI!$C$9),"RICHIAMO MANTENIMENTO",""),IF($E254="In ciclo",IF(N($D254)&gt;=IMPOSTAZIONI!$C$5,"ULTIMA SEDUTA",IF(AND($I254&lt;&gt;"",TODAY()-$I254&gt;IMPOSTAZIONI!$C$7),"FUORI FINESTRA","PRENDI APPUNTAMENTO")),IF($E254="Da contattare","PRENDI APPUNTAMENTO","")))))))))))</f>
        <v/>
      </c>
      <c r="T254" s="17">
        <f>IF($S254="","",IFERROR(MATCH($S254,IMPOSTAZIONI!$F$5:$F$12,0),9)*100000000+(9999-MIN(9999,ROUND(N($O254)/100,0)))*10000+ROW())</f>
        <v/>
      </c>
    </row>
    <row r="255">
      <c r="A255" s="11" t="n"/>
      <c r="B255" s="12">
        <f>IF($S255="","",IFERROR(MATCH($S255,IMPOSTAZIONI!$F$5:$F$12,0),9)&amp;" · "&amp;$S255)</f>
        <v/>
      </c>
      <c r="C255" s="13" t="n"/>
      <c r="D255" s="14" t="n"/>
      <c r="E255" s="11" t="n"/>
      <c r="F255" s="15">
        <f>IF($A255="","",IF(LEN(IF(AND($C255&lt;&gt;"",$C255=TODAY())," · oggi in centro","")&amp;IF(AND($C255&lt;&gt;"",$C255&gt;=TODAY(),N($D255)+1&gt;=IMPOSTAZIONI!$C$5)," · ultima del ciclo, proponi il mantenimento","")&amp;IF(AND($C255&lt;&gt;"",$C255&gt;=TODAY(),$I255&lt;&gt;"",$C255-$I255&lt;IMPOSTAZIONI!$C$6)," · rientro anticipato, meno di "&amp;IMPOSTAZIONI!$C$6&amp;" giorni","")&amp;IF(AND($C255&lt;&gt;"",$C255&gt;=TODAY(),$I255&lt;&gt;"",$C255-$I255&gt;IMPOSTAZIONI!$C$7)," · rientro oltre "&amp;IMPOSTAZIONI!$C$7&amp;" giorni",""))=0,"",MID(IF(AND($C255&lt;&gt;"",$C255=TODAY())," · oggi in centro","")&amp;IF(AND($C255&lt;&gt;"",$C255&gt;=TODAY(),N($D255)+1&gt;=IMPOSTAZIONI!$C$5)," · ultima del ciclo, proponi il mantenimento","")&amp;IF(AND($C255&lt;&gt;"",$C255&gt;=TODAY(),$I255&lt;&gt;"",$C255-$I255&lt;IMPOSTAZIONI!$C$6)," · rientro anticipato, meno di "&amp;IMPOSTAZIONI!$C$6&amp;" giorni","")&amp;IF(AND($C255&lt;&gt;"",$C255&gt;=TODAY(),$I255&lt;&gt;"",$C255-$I255&gt;IMPOSTAZIONI!$C$7)," · rientro oltre "&amp;IMPOSTAZIONI!$C$7&amp;" giorni",""),4,300)))</f>
        <v/>
      </c>
      <c r="G255" s="16" t="n"/>
      <c r="H255" s="11" t="n"/>
      <c r="I255" s="13" t="n"/>
      <c r="J255" s="17">
        <f>IF($I255="","",TODAY()-$I255)</f>
        <v/>
      </c>
      <c r="K255" s="17">
        <f>IF($C255="","",$C255-TODAY())</f>
        <v/>
      </c>
      <c r="L255" s="15">
        <f>IF($A255="","",N($D255)&amp;"/"&amp;IMPOSTAZIONI!$C$5)</f>
        <v/>
      </c>
      <c r="M255" s="15">
        <f>IF($S255="","",IF($S255="RECUPERA CON INCENTIVO",INCENTIVI!$C$7,IF($S255="RICHIAMO MANTENIMENTO",INCENTIVI!$C$6,IF(OR($S255="FUORI FINESTRA",$S255="ULTIMA SEDUTA"),INCENTIVI!$C$5,""))))</f>
        <v/>
      </c>
      <c r="N255" s="18" t="n"/>
      <c r="O255" s="19">
        <f>IF($A255="","",N($D255)*N($N255))</f>
        <v/>
      </c>
      <c r="P255" s="19">
        <f>IF($A255="","",MAX(0,(IMPOSTAZIONI!$C$5-N($D255))*N($N255)))</f>
        <v/>
      </c>
      <c r="Q255" s="13" t="n"/>
      <c r="R255" s="11" t="n"/>
      <c r="S255" s="15">
        <f>IF($A255="","",IF(AND($C255&lt;&gt;"",$C255&lt;TODAY(),OR($I255="",$I255&lt;$C255)),"APPUNTAMENTO SALTATO",IF(AND($C255&lt;&gt;"",$C255-TODAY()=1),"CONFERMA DOMANI",IF(AND($C255&lt;&gt;"",$C255-TODAY()=IMPOSTAZIONI!$C$8),"CHIAMA PER CONFERMA",IF(AND($C255&lt;&gt;"",$C255&gt;=TODAY()),"",IF($E255="Sospesa","",IF($E255="Persa","RECUPERA CON INCENTIVO",IF(AND($I255&lt;&gt;"",TODAY()&gt;=EDATE($I255,IMPOSTAZIONI!$C$10)),"RECUPERA CON INCENTIVO",IF($E255="Mantenimento",IF(AND($I255&lt;&gt;"",TODAY()-$I255&gt;=IMPOSTAZIONI!$C$9),"RICHIAMO MANTENIMENTO",""),IF($E255="In ciclo",IF(N($D255)&gt;=IMPOSTAZIONI!$C$5,"ULTIMA SEDUTA",IF(AND($I255&lt;&gt;"",TODAY()-$I255&gt;IMPOSTAZIONI!$C$7),"FUORI FINESTRA","PRENDI APPUNTAMENTO")),IF($E255="Da contattare","PRENDI APPUNTAMENTO","")))))))))))</f>
        <v/>
      </c>
      <c r="T255" s="17">
        <f>IF($S255="","",IFERROR(MATCH($S255,IMPOSTAZIONI!$F$5:$F$12,0),9)*100000000+(9999-MIN(9999,ROUND(N($O255)/100,0)))*10000+ROW())</f>
        <v/>
      </c>
    </row>
    <row r="256">
      <c r="A256" s="11" t="n"/>
      <c r="B256" s="12">
        <f>IF($S256="","",IFERROR(MATCH($S256,IMPOSTAZIONI!$F$5:$F$12,0),9)&amp;" · "&amp;$S256)</f>
        <v/>
      </c>
      <c r="C256" s="13" t="n"/>
      <c r="D256" s="14" t="n"/>
      <c r="E256" s="11" t="n"/>
      <c r="F256" s="15">
        <f>IF($A256="","",IF(LEN(IF(AND($C256&lt;&gt;"",$C256=TODAY())," · oggi in centro","")&amp;IF(AND($C256&lt;&gt;"",$C256&gt;=TODAY(),N($D256)+1&gt;=IMPOSTAZIONI!$C$5)," · ultima del ciclo, proponi il mantenimento","")&amp;IF(AND($C256&lt;&gt;"",$C256&gt;=TODAY(),$I256&lt;&gt;"",$C256-$I256&lt;IMPOSTAZIONI!$C$6)," · rientro anticipato, meno di "&amp;IMPOSTAZIONI!$C$6&amp;" giorni","")&amp;IF(AND($C256&lt;&gt;"",$C256&gt;=TODAY(),$I256&lt;&gt;"",$C256-$I256&gt;IMPOSTAZIONI!$C$7)," · rientro oltre "&amp;IMPOSTAZIONI!$C$7&amp;" giorni",""))=0,"",MID(IF(AND($C256&lt;&gt;"",$C256=TODAY())," · oggi in centro","")&amp;IF(AND($C256&lt;&gt;"",$C256&gt;=TODAY(),N($D256)+1&gt;=IMPOSTAZIONI!$C$5)," · ultima del ciclo, proponi il mantenimento","")&amp;IF(AND($C256&lt;&gt;"",$C256&gt;=TODAY(),$I256&lt;&gt;"",$C256-$I256&lt;IMPOSTAZIONI!$C$6)," · rientro anticipato, meno di "&amp;IMPOSTAZIONI!$C$6&amp;" giorni","")&amp;IF(AND($C256&lt;&gt;"",$C256&gt;=TODAY(),$I256&lt;&gt;"",$C256-$I256&gt;IMPOSTAZIONI!$C$7)," · rientro oltre "&amp;IMPOSTAZIONI!$C$7&amp;" giorni",""),4,300)))</f>
        <v/>
      </c>
      <c r="G256" s="16" t="n"/>
      <c r="H256" s="11" t="n"/>
      <c r="I256" s="13" t="n"/>
      <c r="J256" s="17">
        <f>IF($I256="","",TODAY()-$I256)</f>
        <v/>
      </c>
      <c r="K256" s="17">
        <f>IF($C256="","",$C256-TODAY())</f>
        <v/>
      </c>
      <c r="L256" s="15">
        <f>IF($A256="","",N($D256)&amp;"/"&amp;IMPOSTAZIONI!$C$5)</f>
        <v/>
      </c>
      <c r="M256" s="15">
        <f>IF($S256="","",IF($S256="RECUPERA CON INCENTIVO",INCENTIVI!$C$7,IF($S256="RICHIAMO MANTENIMENTO",INCENTIVI!$C$6,IF(OR($S256="FUORI FINESTRA",$S256="ULTIMA SEDUTA"),INCENTIVI!$C$5,""))))</f>
        <v/>
      </c>
      <c r="N256" s="18" t="n"/>
      <c r="O256" s="19">
        <f>IF($A256="","",N($D256)*N($N256))</f>
        <v/>
      </c>
      <c r="P256" s="19">
        <f>IF($A256="","",MAX(0,(IMPOSTAZIONI!$C$5-N($D256))*N($N256)))</f>
        <v/>
      </c>
      <c r="Q256" s="13" t="n"/>
      <c r="R256" s="11" t="n"/>
      <c r="S256" s="15">
        <f>IF($A256="","",IF(AND($C256&lt;&gt;"",$C256&lt;TODAY(),OR($I256="",$I256&lt;$C256)),"APPUNTAMENTO SALTATO",IF(AND($C256&lt;&gt;"",$C256-TODAY()=1),"CONFERMA DOMANI",IF(AND($C256&lt;&gt;"",$C256-TODAY()=IMPOSTAZIONI!$C$8),"CHIAMA PER CONFERMA",IF(AND($C256&lt;&gt;"",$C256&gt;=TODAY()),"",IF($E256="Sospesa","",IF($E256="Persa","RECUPERA CON INCENTIVO",IF(AND($I256&lt;&gt;"",TODAY()&gt;=EDATE($I256,IMPOSTAZIONI!$C$10)),"RECUPERA CON INCENTIVO",IF($E256="Mantenimento",IF(AND($I256&lt;&gt;"",TODAY()-$I256&gt;=IMPOSTAZIONI!$C$9),"RICHIAMO MANTENIMENTO",""),IF($E256="In ciclo",IF(N($D256)&gt;=IMPOSTAZIONI!$C$5,"ULTIMA SEDUTA",IF(AND($I256&lt;&gt;"",TODAY()-$I256&gt;IMPOSTAZIONI!$C$7),"FUORI FINESTRA","PRENDI APPUNTAMENTO")),IF($E256="Da contattare","PRENDI APPUNTAMENTO","")))))))))))</f>
        <v/>
      </c>
      <c r="T256" s="17">
        <f>IF($S256="","",IFERROR(MATCH($S256,IMPOSTAZIONI!$F$5:$F$12,0),9)*100000000+(9999-MIN(9999,ROUND(N($O256)/100,0)))*10000+ROW())</f>
        <v/>
      </c>
    </row>
    <row r="257">
      <c r="A257" s="11" t="n"/>
      <c r="B257" s="12">
        <f>IF($S257="","",IFERROR(MATCH($S257,IMPOSTAZIONI!$F$5:$F$12,0),9)&amp;" · "&amp;$S257)</f>
        <v/>
      </c>
      <c r="C257" s="13" t="n"/>
      <c r="D257" s="14" t="n"/>
      <c r="E257" s="11" t="n"/>
      <c r="F257" s="15">
        <f>IF($A257="","",IF(LEN(IF(AND($C257&lt;&gt;"",$C257=TODAY())," · oggi in centro","")&amp;IF(AND($C257&lt;&gt;"",$C257&gt;=TODAY(),N($D257)+1&gt;=IMPOSTAZIONI!$C$5)," · ultima del ciclo, proponi il mantenimento","")&amp;IF(AND($C257&lt;&gt;"",$C257&gt;=TODAY(),$I257&lt;&gt;"",$C257-$I257&lt;IMPOSTAZIONI!$C$6)," · rientro anticipato, meno di "&amp;IMPOSTAZIONI!$C$6&amp;" giorni","")&amp;IF(AND($C257&lt;&gt;"",$C257&gt;=TODAY(),$I257&lt;&gt;"",$C257-$I257&gt;IMPOSTAZIONI!$C$7)," · rientro oltre "&amp;IMPOSTAZIONI!$C$7&amp;" giorni",""))=0,"",MID(IF(AND($C257&lt;&gt;"",$C257=TODAY())," · oggi in centro","")&amp;IF(AND($C257&lt;&gt;"",$C257&gt;=TODAY(),N($D257)+1&gt;=IMPOSTAZIONI!$C$5)," · ultima del ciclo, proponi il mantenimento","")&amp;IF(AND($C257&lt;&gt;"",$C257&gt;=TODAY(),$I257&lt;&gt;"",$C257-$I257&lt;IMPOSTAZIONI!$C$6)," · rientro anticipato, meno di "&amp;IMPOSTAZIONI!$C$6&amp;" giorni","")&amp;IF(AND($C257&lt;&gt;"",$C257&gt;=TODAY(),$I257&lt;&gt;"",$C257-$I257&gt;IMPOSTAZIONI!$C$7)," · rientro oltre "&amp;IMPOSTAZIONI!$C$7&amp;" giorni",""),4,300)))</f>
        <v/>
      </c>
      <c r="G257" s="16" t="n"/>
      <c r="H257" s="11" t="n"/>
      <c r="I257" s="13" t="n"/>
      <c r="J257" s="17">
        <f>IF($I257="","",TODAY()-$I257)</f>
        <v/>
      </c>
      <c r="K257" s="17">
        <f>IF($C257="","",$C257-TODAY())</f>
        <v/>
      </c>
      <c r="L257" s="15">
        <f>IF($A257="","",N($D257)&amp;"/"&amp;IMPOSTAZIONI!$C$5)</f>
        <v/>
      </c>
      <c r="M257" s="15">
        <f>IF($S257="","",IF($S257="RECUPERA CON INCENTIVO",INCENTIVI!$C$7,IF($S257="RICHIAMO MANTENIMENTO",INCENTIVI!$C$6,IF(OR($S257="FUORI FINESTRA",$S257="ULTIMA SEDUTA"),INCENTIVI!$C$5,""))))</f>
        <v/>
      </c>
      <c r="N257" s="18" t="n"/>
      <c r="O257" s="19">
        <f>IF($A257="","",N($D257)*N($N257))</f>
        <v/>
      </c>
      <c r="P257" s="19">
        <f>IF($A257="","",MAX(0,(IMPOSTAZIONI!$C$5-N($D257))*N($N257)))</f>
        <v/>
      </c>
      <c r="Q257" s="13" t="n"/>
      <c r="R257" s="11" t="n"/>
      <c r="S257" s="15">
        <f>IF($A257="","",IF(AND($C257&lt;&gt;"",$C257&lt;TODAY(),OR($I257="",$I257&lt;$C257)),"APPUNTAMENTO SALTATO",IF(AND($C257&lt;&gt;"",$C257-TODAY()=1),"CONFERMA DOMANI",IF(AND($C257&lt;&gt;"",$C257-TODAY()=IMPOSTAZIONI!$C$8),"CHIAMA PER CONFERMA",IF(AND($C257&lt;&gt;"",$C257&gt;=TODAY()),"",IF($E257="Sospesa","",IF($E257="Persa","RECUPERA CON INCENTIVO",IF(AND($I257&lt;&gt;"",TODAY()&gt;=EDATE($I257,IMPOSTAZIONI!$C$10)),"RECUPERA CON INCENTIVO",IF($E257="Mantenimento",IF(AND($I257&lt;&gt;"",TODAY()-$I257&gt;=IMPOSTAZIONI!$C$9),"RICHIAMO MANTENIMENTO",""),IF($E257="In ciclo",IF(N($D257)&gt;=IMPOSTAZIONI!$C$5,"ULTIMA SEDUTA",IF(AND($I257&lt;&gt;"",TODAY()-$I257&gt;IMPOSTAZIONI!$C$7),"FUORI FINESTRA","PRENDI APPUNTAMENTO")),IF($E257="Da contattare","PRENDI APPUNTAMENTO","")))))))))))</f>
        <v/>
      </c>
      <c r="T257" s="17">
        <f>IF($S257="","",IFERROR(MATCH($S257,IMPOSTAZIONI!$F$5:$F$12,0),9)*100000000+(9999-MIN(9999,ROUND(N($O257)/100,0)))*10000+ROW())</f>
        <v/>
      </c>
    </row>
    <row r="258">
      <c r="A258" s="11" t="n"/>
      <c r="B258" s="12">
        <f>IF($S258="","",IFERROR(MATCH($S258,IMPOSTAZIONI!$F$5:$F$12,0),9)&amp;" · "&amp;$S258)</f>
        <v/>
      </c>
      <c r="C258" s="13" t="n"/>
      <c r="D258" s="14" t="n"/>
      <c r="E258" s="11" t="n"/>
      <c r="F258" s="15">
        <f>IF($A258="","",IF(LEN(IF(AND($C258&lt;&gt;"",$C258=TODAY())," · oggi in centro","")&amp;IF(AND($C258&lt;&gt;"",$C258&gt;=TODAY(),N($D258)+1&gt;=IMPOSTAZIONI!$C$5)," · ultima del ciclo, proponi il mantenimento","")&amp;IF(AND($C258&lt;&gt;"",$C258&gt;=TODAY(),$I258&lt;&gt;"",$C258-$I258&lt;IMPOSTAZIONI!$C$6)," · rientro anticipato, meno di "&amp;IMPOSTAZIONI!$C$6&amp;" giorni","")&amp;IF(AND($C258&lt;&gt;"",$C258&gt;=TODAY(),$I258&lt;&gt;"",$C258-$I258&gt;IMPOSTAZIONI!$C$7)," · rientro oltre "&amp;IMPOSTAZIONI!$C$7&amp;" giorni",""))=0,"",MID(IF(AND($C258&lt;&gt;"",$C258=TODAY())," · oggi in centro","")&amp;IF(AND($C258&lt;&gt;"",$C258&gt;=TODAY(),N($D258)+1&gt;=IMPOSTAZIONI!$C$5)," · ultima del ciclo, proponi il mantenimento","")&amp;IF(AND($C258&lt;&gt;"",$C258&gt;=TODAY(),$I258&lt;&gt;"",$C258-$I258&lt;IMPOSTAZIONI!$C$6)," · rientro anticipato, meno di "&amp;IMPOSTAZIONI!$C$6&amp;" giorni","")&amp;IF(AND($C258&lt;&gt;"",$C258&gt;=TODAY(),$I258&lt;&gt;"",$C258-$I258&gt;IMPOSTAZIONI!$C$7)," · rientro oltre "&amp;IMPOSTAZIONI!$C$7&amp;" giorni",""),4,300)))</f>
        <v/>
      </c>
      <c r="G258" s="16" t="n"/>
      <c r="H258" s="11" t="n"/>
      <c r="I258" s="13" t="n"/>
      <c r="J258" s="17">
        <f>IF($I258="","",TODAY()-$I258)</f>
        <v/>
      </c>
      <c r="K258" s="17">
        <f>IF($C258="","",$C258-TODAY())</f>
        <v/>
      </c>
      <c r="L258" s="15">
        <f>IF($A258="","",N($D258)&amp;"/"&amp;IMPOSTAZIONI!$C$5)</f>
        <v/>
      </c>
      <c r="M258" s="15">
        <f>IF($S258="","",IF($S258="RECUPERA CON INCENTIVO",INCENTIVI!$C$7,IF($S258="RICHIAMO MANTENIMENTO",INCENTIVI!$C$6,IF(OR($S258="FUORI FINESTRA",$S258="ULTIMA SEDUTA"),INCENTIVI!$C$5,""))))</f>
        <v/>
      </c>
      <c r="N258" s="18" t="n"/>
      <c r="O258" s="19">
        <f>IF($A258="","",N($D258)*N($N258))</f>
        <v/>
      </c>
      <c r="P258" s="19">
        <f>IF($A258="","",MAX(0,(IMPOSTAZIONI!$C$5-N($D258))*N($N258)))</f>
        <v/>
      </c>
      <c r="Q258" s="13" t="n"/>
      <c r="R258" s="11" t="n"/>
      <c r="S258" s="15">
        <f>IF($A258="","",IF(AND($C258&lt;&gt;"",$C258&lt;TODAY(),OR($I258="",$I258&lt;$C258)),"APPUNTAMENTO SALTATO",IF(AND($C258&lt;&gt;"",$C258-TODAY()=1),"CONFERMA DOMANI",IF(AND($C258&lt;&gt;"",$C258-TODAY()=IMPOSTAZIONI!$C$8),"CHIAMA PER CONFERMA",IF(AND($C258&lt;&gt;"",$C258&gt;=TODAY()),"",IF($E258="Sospesa","",IF($E258="Persa","RECUPERA CON INCENTIVO",IF(AND($I258&lt;&gt;"",TODAY()&gt;=EDATE($I258,IMPOSTAZIONI!$C$10)),"RECUPERA CON INCENTIVO",IF($E258="Mantenimento",IF(AND($I258&lt;&gt;"",TODAY()-$I258&gt;=IMPOSTAZIONI!$C$9),"RICHIAMO MANTENIMENTO",""),IF($E258="In ciclo",IF(N($D258)&gt;=IMPOSTAZIONI!$C$5,"ULTIMA SEDUTA",IF(AND($I258&lt;&gt;"",TODAY()-$I258&gt;IMPOSTAZIONI!$C$7),"FUORI FINESTRA","PRENDI APPUNTAMENTO")),IF($E258="Da contattare","PRENDI APPUNTAMENTO","")))))))))))</f>
        <v/>
      </c>
      <c r="T258" s="17">
        <f>IF($S258="","",IFERROR(MATCH($S258,IMPOSTAZIONI!$F$5:$F$12,0),9)*100000000+(9999-MIN(9999,ROUND(N($O258)/100,0)))*10000+ROW())</f>
        <v/>
      </c>
    </row>
    <row r="259">
      <c r="A259" s="11" t="n"/>
      <c r="B259" s="12">
        <f>IF($S259="","",IFERROR(MATCH($S259,IMPOSTAZIONI!$F$5:$F$12,0),9)&amp;" · "&amp;$S259)</f>
        <v/>
      </c>
      <c r="C259" s="13" t="n"/>
      <c r="D259" s="14" t="n"/>
      <c r="E259" s="11" t="n"/>
      <c r="F259" s="15">
        <f>IF($A259="","",IF(LEN(IF(AND($C259&lt;&gt;"",$C259=TODAY())," · oggi in centro","")&amp;IF(AND($C259&lt;&gt;"",$C259&gt;=TODAY(),N($D259)+1&gt;=IMPOSTAZIONI!$C$5)," · ultima del ciclo, proponi il mantenimento","")&amp;IF(AND($C259&lt;&gt;"",$C259&gt;=TODAY(),$I259&lt;&gt;"",$C259-$I259&lt;IMPOSTAZIONI!$C$6)," · rientro anticipato, meno di "&amp;IMPOSTAZIONI!$C$6&amp;" giorni","")&amp;IF(AND($C259&lt;&gt;"",$C259&gt;=TODAY(),$I259&lt;&gt;"",$C259-$I259&gt;IMPOSTAZIONI!$C$7)," · rientro oltre "&amp;IMPOSTAZIONI!$C$7&amp;" giorni",""))=0,"",MID(IF(AND($C259&lt;&gt;"",$C259=TODAY())," · oggi in centro","")&amp;IF(AND($C259&lt;&gt;"",$C259&gt;=TODAY(),N($D259)+1&gt;=IMPOSTAZIONI!$C$5)," · ultima del ciclo, proponi il mantenimento","")&amp;IF(AND($C259&lt;&gt;"",$C259&gt;=TODAY(),$I259&lt;&gt;"",$C259-$I259&lt;IMPOSTAZIONI!$C$6)," · rientro anticipato, meno di "&amp;IMPOSTAZIONI!$C$6&amp;" giorni","")&amp;IF(AND($C259&lt;&gt;"",$C259&gt;=TODAY(),$I259&lt;&gt;"",$C259-$I259&gt;IMPOSTAZIONI!$C$7)," · rientro oltre "&amp;IMPOSTAZIONI!$C$7&amp;" giorni",""),4,300)))</f>
        <v/>
      </c>
      <c r="G259" s="16" t="n"/>
      <c r="H259" s="11" t="n"/>
      <c r="I259" s="13" t="n"/>
      <c r="J259" s="17">
        <f>IF($I259="","",TODAY()-$I259)</f>
        <v/>
      </c>
      <c r="K259" s="17">
        <f>IF($C259="","",$C259-TODAY())</f>
        <v/>
      </c>
      <c r="L259" s="15">
        <f>IF($A259="","",N($D259)&amp;"/"&amp;IMPOSTAZIONI!$C$5)</f>
        <v/>
      </c>
      <c r="M259" s="15">
        <f>IF($S259="","",IF($S259="RECUPERA CON INCENTIVO",INCENTIVI!$C$7,IF($S259="RICHIAMO MANTENIMENTO",INCENTIVI!$C$6,IF(OR($S259="FUORI FINESTRA",$S259="ULTIMA SEDUTA"),INCENTIVI!$C$5,""))))</f>
        <v/>
      </c>
      <c r="N259" s="18" t="n"/>
      <c r="O259" s="19">
        <f>IF($A259="","",N($D259)*N($N259))</f>
        <v/>
      </c>
      <c r="P259" s="19">
        <f>IF($A259="","",MAX(0,(IMPOSTAZIONI!$C$5-N($D259))*N($N259)))</f>
        <v/>
      </c>
      <c r="Q259" s="13" t="n"/>
      <c r="R259" s="11" t="n"/>
      <c r="S259" s="15">
        <f>IF($A259="","",IF(AND($C259&lt;&gt;"",$C259&lt;TODAY(),OR($I259="",$I259&lt;$C259)),"APPUNTAMENTO SALTATO",IF(AND($C259&lt;&gt;"",$C259-TODAY()=1),"CONFERMA DOMANI",IF(AND($C259&lt;&gt;"",$C259-TODAY()=IMPOSTAZIONI!$C$8),"CHIAMA PER CONFERMA",IF(AND($C259&lt;&gt;"",$C259&gt;=TODAY()),"",IF($E259="Sospesa","",IF($E259="Persa","RECUPERA CON INCENTIVO",IF(AND($I259&lt;&gt;"",TODAY()&gt;=EDATE($I259,IMPOSTAZIONI!$C$10)),"RECUPERA CON INCENTIVO",IF($E259="Mantenimento",IF(AND($I259&lt;&gt;"",TODAY()-$I259&gt;=IMPOSTAZIONI!$C$9),"RICHIAMO MANTENIMENTO",""),IF($E259="In ciclo",IF(N($D259)&gt;=IMPOSTAZIONI!$C$5,"ULTIMA SEDUTA",IF(AND($I259&lt;&gt;"",TODAY()-$I259&gt;IMPOSTAZIONI!$C$7),"FUORI FINESTRA","PRENDI APPUNTAMENTO")),IF($E259="Da contattare","PRENDI APPUNTAMENTO","")))))))))))</f>
        <v/>
      </c>
      <c r="T259" s="17">
        <f>IF($S259="","",IFERROR(MATCH($S259,IMPOSTAZIONI!$F$5:$F$12,0),9)*100000000+(9999-MIN(9999,ROUND(N($O259)/100,0)))*10000+ROW())</f>
        <v/>
      </c>
    </row>
    <row r="260">
      <c r="A260" s="11" t="n"/>
      <c r="B260" s="12">
        <f>IF($S260="","",IFERROR(MATCH($S260,IMPOSTAZIONI!$F$5:$F$12,0),9)&amp;" · "&amp;$S260)</f>
        <v/>
      </c>
      <c r="C260" s="13" t="n"/>
      <c r="D260" s="14" t="n"/>
      <c r="E260" s="11" t="n"/>
      <c r="F260" s="15">
        <f>IF($A260="","",IF(LEN(IF(AND($C260&lt;&gt;"",$C260=TODAY())," · oggi in centro","")&amp;IF(AND($C260&lt;&gt;"",$C260&gt;=TODAY(),N($D260)+1&gt;=IMPOSTAZIONI!$C$5)," · ultima del ciclo, proponi il mantenimento","")&amp;IF(AND($C260&lt;&gt;"",$C260&gt;=TODAY(),$I260&lt;&gt;"",$C260-$I260&lt;IMPOSTAZIONI!$C$6)," · rientro anticipato, meno di "&amp;IMPOSTAZIONI!$C$6&amp;" giorni","")&amp;IF(AND($C260&lt;&gt;"",$C260&gt;=TODAY(),$I260&lt;&gt;"",$C260-$I260&gt;IMPOSTAZIONI!$C$7)," · rientro oltre "&amp;IMPOSTAZIONI!$C$7&amp;" giorni",""))=0,"",MID(IF(AND($C260&lt;&gt;"",$C260=TODAY())," · oggi in centro","")&amp;IF(AND($C260&lt;&gt;"",$C260&gt;=TODAY(),N($D260)+1&gt;=IMPOSTAZIONI!$C$5)," · ultima del ciclo, proponi il mantenimento","")&amp;IF(AND($C260&lt;&gt;"",$C260&gt;=TODAY(),$I260&lt;&gt;"",$C260-$I260&lt;IMPOSTAZIONI!$C$6)," · rientro anticipato, meno di "&amp;IMPOSTAZIONI!$C$6&amp;" giorni","")&amp;IF(AND($C260&lt;&gt;"",$C260&gt;=TODAY(),$I260&lt;&gt;"",$C260-$I260&gt;IMPOSTAZIONI!$C$7)," · rientro oltre "&amp;IMPOSTAZIONI!$C$7&amp;" giorni",""),4,300)))</f>
        <v/>
      </c>
      <c r="G260" s="16" t="n"/>
      <c r="H260" s="11" t="n"/>
      <c r="I260" s="13" t="n"/>
      <c r="J260" s="17">
        <f>IF($I260="","",TODAY()-$I260)</f>
        <v/>
      </c>
      <c r="K260" s="17">
        <f>IF($C260="","",$C260-TODAY())</f>
        <v/>
      </c>
      <c r="L260" s="15">
        <f>IF($A260="","",N($D260)&amp;"/"&amp;IMPOSTAZIONI!$C$5)</f>
        <v/>
      </c>
      <c r="M260" s="15">
        <f>IF($S260="","",IF($S260="RECUPERA CON INCENTIVO",INCENTIVI!$C$7,IF($S260="RICHIAMO MANTENIMENTO",INCENTIVI!$C$6,IF(OR($S260="FUORI FINESTRA",$S260="ULTIMA SEDUTA"),INCENTIVI!$C$5,""))))</f>
        <v/>
      </c>
      <c r="N260" s="18" t="n"/>
      <c r="O260" s="19">
        <f>IF($A260="","",N($D260)*N($N260))</f>
        <v/>
      </c>
      <c r="P260" s="19">
        <f>IF($A260="","",MAX(0,(IMPOSTAZIONI!$C$5-N($D260))*N($N260)))</f>
        <v/>
      </c>
      <c r="Q260" s="13" t="n"/>
      <c r="R260" s="11" t="n"/>
      <c r="S260" s="15">
        <f>IF($A260="","",IF(AND($C260&lt;&gt;"",$C260&lt;TODAY(),OR($I260="",$I260&lt;$C260)),"APPUNTAMENTO SALTATO",IF(AND($C260&lt;&gt;"",$C260-TODAY()=1),"CONFERMA DOMANI",IF(AND($C260&lt;&gt;"",$C260-TODAY()=IMPOSTAZIONI!$C$8),"CHIAMA PER CONFERMA",IF(AND($C260&lt;&gt;"",$C260&gt;=TODAY()),"",IF($E260="Sospesa","",IF($E260="Persa","RECUPERA CON INCENTIVO",IF(AND($I260&lt;&gt;"",TODAY()&gt;=EDATE($I260,IMPOSTAZIONI!$C$10)),"RECUPERA CON INCENTIVO",IF($E260="Mantenimento",IF(AND($I260&lt;&gt;"",TODAY()-$I260&gt;=IMPOSTAZIONI!$C$9),"RICHIAMO MANTENIMENTO",""),IF($E260="In ciclo",IF(N($D260)&gt;=IMPOSTAZIONI!$C$5,"ULTIMA SEDUTA",IF(AND($I260&lt;&gt;"",TODAY()-$I260&gt;IMPOSTAZIONI!$C$7),"FUORI FINESTRA","PRENDI APPUNTAMENTO")),IF($E260="Da contattare","PRENDI APPUNTAMENTO","")))))))))))</f>
        <v/>
      </c>
      <c r="T260" s="17">
        <f>IF($S260="","",IFERROR(MATCH($S260,IMPOSTAZIONI!$F$5:$F$12,0),9)*100000000+(9999-MIN(9999,ROUND(N($O260)/100,0)))*10000+ROW())</f>
        <v/>
      </c>
    </row>
    <row r="261">
      <c r="A261" s="11" t="n"/>
      <c r="B261" s="12">
        <f>IF($S261="","",IFERROR(MATCH($S261,IMPOSTAZIONI!$F$5:$F$12,0),9)&amp;" · "&amp;$S261)</f>
        <v/>
      </c>
      <c r="C261" s="13" t="n"/>
      <c r="D261" s="14" t="n"/>
      <c r="E261" s="11" t="n"/>
      <c r="F261" s="15">
        <f>IF($A261="","",IF(LEN(IF(AND($C261&lt;&gt;"",$C261=TODAY())," · oggi in centro","")&amp;IF(AND($C261&lt;&gt;"",$C261&gt;=TODAY(),N($D261)+1&gt;=IMPOSTAZIONI!$C$5)," · ultima del ciclo, proponi il mantenimento","")&amp;IF(AND($C261&lt;&gt;"",$C261&gt;=TODAY(),$I261&lt;&gt;"",$C261-$I261&lt;IMPOSTAZIONI!$C$6)," · rientro anticipato, meno di "&amp;IMPOSTAZIONI!$C$6&amp;" giorni","")&amp;IF(AND($C261&lt;&gt;"",$C261&gt;=TODAY(),$I261&lt;&gt;"",$C261-$I261&gt;IMPOSTAZIONI!$C$7)," · rientro oltre "&amp;IMPOSTAZIONI!$C$7&amp;" giorni",""))=0,"",MID(IF(AND($C261&lt;&gt;"",$C261=TODAY())," · oggi in centro","")&amp;IF(AND($C261&lt;&gt;"",$C261&gt;=TODAY(),N($D261)+1&gt;=IMPOSTAZIONI!$C$5)," · ultima del ciclo, proponi il mantenimento","")&amp;IF(AND($C261&lt;&gt;"",$C261&gt;=TODAY(),$I261&lt;&gt;"",$C261-$I261&lt;IMPOSTAZIONI!$C$6)," · rientro anticipato, meno di "&amp;IMPOSTAZIONI!$C$6&amp;" giorni","")&amp;IF(AND($C261&lt;&gt;"",$C261&gt;=TODAY(),$I261&lt;&gt;"",$C261-$I261&gt;IMPOSTAZIONI!$C$7)," · rientro oltre "&amp;IMPOSTAZIONI!$C$7&amp;" giorni",""),4,300)))</f>
        <v/>
      </c>
      <c r="G261" s="16" t="n"/>
      <c r="H261" s="11" t="n"/>
      <c r="I261" s="13" t="n"/>
      <c r="J261" s="17">
        <f>IF($I261="","",TODAY()-$I261)</f>
        <v/>
      </c>
      <c r="K261" s="17">
        <f>IF($C261="","",$C261-TODAY())</f>
        <v/>
      </c>
      <c r="L261" s="15">
        <f>IF($A261="","",N($D261)&amp;"/"&amp;IMPOSTAZIONI!$C$5)</f>
        <v/>
      </c>
      <c r="M261" s="15">
        <f>IF($S261="","",IF($S261="RECUPERA CON INCENTIVO",INCENTIVI!$C$7,IF($S261="RICHIAMO MANTENIMENTO",INCENTIVI!$C$6,IF(OR($S261="FUORI FINESTRA",$S261="ULTIMA SEDUTA"),INCENTIVI!$C$5,""))))</f>
        <v/>
      </c>
      <c r="N261" s="18" t="n"/>
      <c r="O261" s="19">
        <f>IF($A261="","",N($D261)*N($N261))</f>
        <v/>
      </c>
      <c r="P261" s="19">
        <f>IF($A261="","",MAX(0,(IMPOSTAZIONI!$C$5-N($D261))*N($N261)))</f>
        <v/>
      </c>
      <c r="Q261" s="13" t="n"/>
      <c r="R261" s="11" t="n"/>
      <c r="S261" s="15">
        <f>IF($A261="","",IF(AND($C261&lt;&gt;"",$C261&lt;TODAY(),OR($I261="",$I261&lt;$C261)),"APPUNTAMENTO SALTATO",IF(AND($C261&lt;&gt;"",$C261-TODAY()=1),"CONFERMA DOMANI",IF(AND($C261&lt;&gt;"",$C261-TODAY()=IMPOSTAZIONI!$C$8),"CHIAMA PER CONFERMA",IF(AND($C261&lt;&gt;"",$C261&gt;=TODAY()),"",IF($E261="Sospesa","",IF($E261="Persa","RECUPERA CON INCENTIVO",IF(AND($I261&lt;&gt;"",TODAY()&gt;=EDATE($I261,IMPOSTAZIONI!$C$10)),"RECUPERA CON INCENTIVO",IF($E261="Mantenimento",IF(AND($I261&lt;&gt;"",TODAY()-$I261&gt;=IMPOSTAZIONI!$C$9),"RICHIAMO MANTENIMENTO",""),IF($E261="In ciclo",IF(N($D261)&gt;=IMPOSTAZIONI!$C$5,"ULTIMA SEDUTA",IF(AND($I261&lt;&gt;"",TODAY()-$I261&gt;IMPOSTAZIONI!$C$7),"FUORI FINESTRA","PRENDI APPUNTAMENTO")),IF($E261="Da contattare","PRENDI APPUNTAMENTO","")))))))))))</f>
        <v/>
      </c>
      <c r="T261" s="17">
        <f>IF($S261="","",IFERROR(MATCH($S261,IMPOSTAZIONI!$F$5:$F$12,0),9)*100000000+(9999-MIN(9999,ROUND(N($O261)/100,0)))*10000+ROW())</f>
        <v/>
      </c>
    </row>
    <row r="262">
      <c r="A262" s="11" t="n"/>
      <c r="B262" s="12">
        <f>IF($S262="","",IFERROR(MATCH($S262,IMPOSTAZIONI!$F$5:$F$12,0),9)&amp;" · "&amp;$S262)</f>
        <v/>
      </c>
      <c r="C262" s="13" t="n"/>
      <c r="D262" s="14" t="n"/>
      <c r="E262" s="11" t="n"/>
      <c r="F262" s="15">
        <f>IF($A262="","",IF(LEN(IF(AND($C262&lt;&gt;"",$C262=TODAY())," · oggi in centro","")&amp;IF(AND($C262&lt;&gt;"",$C262&gt;=TODAY(),N($D262)+1&gt;=IMPOSTAZIONI!$C$5)," · ultima del ciclo, proponi il mantenimento","")&amp;IF(AND($C262&lt;&gt;"",$C262&gt;=TODAY(),$I262&lt;&gt;"",$C262-$I262&lt;IMPOSTAZIONI!$C$6)," · rientro anticipato, meno di "&amp;IMPOSTAZIONI!$C$6&amp;" giorni","")&amp;IF(AND($C262&lt;&gt;"",$C262&gt;=TODAY(),$I262&lt;&gt;"",$C262-$I262&gt;IMPOSTAZIONI!$C$7)," · rientro oltre "&amp;IMPOSTAZIONI!$C$7&amp;" giorni",""))=0,"",MID(IF(AND($C262&lt;&gt;"",$C262=TODAY())," · oggi in centro","")&amp;IF(AND($C262&lt;&gt;"",$C262&gt;=TODAY(),N($D262)+1&gt;=IMPOSTAZIONI!$C$5)," · ultima del ciclo, proponi il mantenimento","")&amp;IF(AND($C262&lt;&gt;"",$C262&gt;=TODAY(),$I262&lt;&gt;"",$C262-$I262&lt;IMPOSTAZIONI!$C$6)," · rientro anticipato, meno di "&amp;IMPOSTAZIONI!$C$6&amp;" giorni","")&amp;IF(AND($C262&lt;&gt;"",$C262&gt;=TODAY(),$I262&lt;&gt;"",$C262-$I262&gt;IMPOSTAZIONI!$C$7)," · rientro oltre "&amp;IMPOSTAZIONI!$C$7&amp;" giorni",""),4,300)))</f>
        <v/>
      </c>
      <c r="G262" s="16" t="n"/>
      <c r="H262" s="11" t="n"/>
      <c r="I262" s="13" t="n"/>
      <c r="J262" s="17">
        <f>IF($I262="","",TODAY()-$I262)</f>
        <v/>
      </c>
      <c r="K262" s="17">
        <f>IF($C262="","",$C262-TODAY())</f>
        <v/>
      </c>
      <c r="L262" s="15">
        <f>IF($A262="","",N($D262)&amp;"/"&amp;IMPOSTAZIONI!$C$5)</f>
        <v/>
      </c>
      <c r="M262" s="15">
        <f>IF($S262="","",IF($S262="RECUPERA CON INCENTIVO",INCENTIVI!$C$7,IF($S262="RICHIAMO MANTENIMENTO",INCENTIVI!$C$6,IF(OR($S262="FUORI FINESTRA",$S262="ULTIMA SEDUTA"),INCENTIVI!$C$5,""))))</f>
        <v/>
      </c>
      <c r="N262" s="18" t="n"/>
      <c r="O262" s="19">
        <f>IF($A262="","",N($D262)*N($N262))</f>
        <v/>
      </c>
      <c r="P262" s="19">
        <f>IF($A262="","",MAX(0,(IMPOSTAZIONI!$C$5-N($D262))*N($N262)))</f>
        <v/>
      </c>
      <c r="Q262" s="13" t="n"/>
      <c r="R262" s="11" t="n"/>
      <c r="S262" s="15">
        <f>IF($A262="","",IF(AND($C262&lt;&gt;"",$C262&lt;TODAY(),OR($I262="",$I262&lt;$C262)),"APPUNTAMENTO SALTATO",IF(AND($C262&lt;&gt;"",$C262-TODAY()=1),"CONFERMA DOMANI",IF(AND($C262&lt;&gt;"",$C262-TODAY()=IMPOSTAZIONI!$C$8),"CHIAMA PER CONFERMA",IF(AND($C262&lt;&gt;"",$C262&gt;=TODAY()),"",IF($E262="Sospesa","",IF($E262="Persa","RECUPERA CON INCENTIVO",IF(AND($I262&lt;&gt;"",TODAY()&gt;=EDATE($I262,IMPOSTAZIONI!$C$10)),"RECUPERA CON INCENTIVO",IF($E262="Mantenimento",IF(AND($I262&lt;&gt;"",TODAY()-$I262&gt;=IMPOSTAZIONI!$C$9),"RICHIAMO MANTENIMENTO",""),IF($E262="In ciclo",IF(N($D262)&gt;=IMPOSTAZIONI!$C$5,"ULTIMA SEDUTA",IF(AND($I262&lt;&gt;"",TODAY()-$I262&gt;IMPOSTAZIONI!$C$7),"FUORI FINESTRA","PRENDI APPUNTAMENTO")),IF($E262="Da contattare","PRENDI APPUNTAMENTO","")))))))))))</f>
        <v/>
      </c>
      <c r="T262" s="17">
        <f>IF($S262="","",IFERROR(MATCH($S262,IMPOSTAZIONI!$F$5:$F$12,0),9)*100000000+(9999-MIN(9999,ROUND(N($O262)/100,0)))*10000+ROW())</f>
        <v/>
      </c>
    </row>
    <row r="263">
      <c r="A263" s="11" t="n"/>
      <c r="B263" s="12">
        <f>IF($S263="","",IFERROR(MATCH($S263,IMPOSTAZIONI!$F$5:$F$12,0),9)&amp;" · "&amp;$S263)</f>
        <v/>
      </c>
      <c r="C263" s="13" t="n"/>
      <c r="D263" s="14" t="n"/>
      <c r="E263" s="11" t="n"/>
      <c r="F263" s="15">
        <f>IF($A263="","",IF(LEN(IF(AND($C263&lt;&gt;"",$C263=TODAY())," · oggi in centro","")&amp;IF(AND($C263&lt;&gt;"",$C263&gt;=TODAY(),N($D263)+1&gt;=IMPOSTAZIONI!$C$5)," · ultima del ciclo, proponi il mantenimento","")&amp;IF(AND($C263&lt;&gt;"",$C263&gt;=TODAY(),$I263&lt;&gt;"",$C263-$I263&lt;IMPOSTAZIONI!$C$6)," · rientro anticipato, meno di "&amp;IMPOSTAZIONI!$C$6&amp;" giorni","")&amp;IF(AND($C263&lt;&gt;"",$C263&gt;=TODAY(),$I263&lt;&gt;"",$C263-$I263&gt;IMPOSTAZIONI!$C$7)," · rientro oltre "&amp;IMPOSTAZIONI!$C$7&amp;" giorni",""))=0,"",MID(IF(AND($C263&lt;&gt;"",$C263=TODAY())," · oggi in centro","")&amp;IF(AND($C263&lt;&gt;"",$C263&gt;=TODAY(),N($D263)+1&gt;=IMPOSTAZIONI!$C$5)," · ultima del ciclo, proponi il mantenimento","")&amp;IF(AND($C263&lt;&gt;"",$C263&gt;=TODAY(),$I263&lt;&gt;"",$C263-$I263&lt;IMPOSTAZIONI!$C$6)," · rientro anticipato, meno di "&amp;IMPOSTAZIONI!$C$6&amp;" giorni","")&amp;IF(AND($C263&lt;&gt;"",$C263&gt;=TODAY(),$I263&lt;&gt;"",$C263-$I263&gt;IMPOSTAZIONI!$C$7)," · rientro oltre "&amp;IMPOSTAZIONI!$C$7&amp;" giorni",""),4,300)))</f>
        <v/>
      </c>
      <c r="G263" s="16" t="n"/>
      <c r="H263" s="11" t="n"/>
      <c r="I263" s="13" t="n"/>
      <c r="J263" s="17">
        <f>IF($I263="","",TODAY()-$I263)</f>
        <v/>
      </c>
      <c r="K263" s="17">
        <f>IF($C263="","",$C263-TODAY())</f>
        <v/>
      </c>
      <c r="L263" s="15">
        <f>IF($A263="","",N($D263)&amp;"/"&amp;IMPOSTAZIONI!$C$5)</f>
        <v/>
      </c>
      <c r="M263" s="15">
        <f>IF($S263="","",IF($S263="RECUPERA CON INCENTIVO",INCENTIVI!$C$7,IF($S263="RICHIAMO MANTENIMENTO",INCENTIVI!$C$6,IF(OR($S263="FUORI FINESTRA",$S263="ULTIMA SEDUTA"),INCENTIVI!$C$5,""))))</f>
        <v/>
      </c>
      <c r="N263" s="18" t="n"/>
      <c r="O263" s="19">
        <f>IF($A263="","",N($D263)*N($N263))</f>
        <v/>
      </c>
      <c r="P263" s="19">
        <f>IF($A263="","",MAX(0,(IMPOSTAZIONI!$C$5-N($D263))*N($N263)))</f>
        <v/>
      </c>
      <c r="Q263" s="13" t="n"/>
      <c r="R263" s="11" t="n"/>
      <c r="S263" s="15">
        <f>IF($A263="","",IF(AND($C263&lt;&gt;"",$C263&lt;TODAY(),OR($I263="",$I263&lt;$C263)),"APPUNTAMENTO SALTATO",IF(AND($C263&lt;&gt;"",$C263-TODAY()=1),"CONFERMA DOMANI",IF(AND($C263&lt;&gt;"",$C263-TODAY()=IMPOSTAZIONI!$C$8),"CHIAMA PER CONFERMA",IF(AND($C263&lt;&gt;"",$C263&gt;=TODAY()),"",IF($E263="Sospesa","",IF($E263="Persa","RECUPERA CON INCENTIVO",IF(AND($I263&lt;&gt;"",TODAY()&gt;=EDATE($I263,IMPOSTAZIONI!$C$10)),"RECUPERA CON INCENTIVO",IF($E263="Mantenimento",IF(AND($I263&lt;&gt;"",TODAY()-$I263&gt;=IMPOSTAZIONI!$C$9),"RICHIAMO MANTENIMENTO",""),IF($E263="In ciclo",IF(N($D263)&gt;=IMPOSTAZIONI!$C$5,"ULTIMA SEDUTA",IF(AND($I263&lt;&gt;"",TODAY()-$I263&gt;IMPOSTAZIONI!$C$7),"FUORI FINESTRA","PRENDI APPUNTAMENTO")),IF($E263="Da contattare","PRENDI APPUNTAMENTO","")))))))))))</f>
        <v/>
      </c>
      <c r="T263" s="17">
        <f>IF($S263="","",IFERROR(MATCH($S263,IMPOSTAZIONI!$F$5:$F$12,0),9)*100000000+(9999-MIN(9999,ROUND(N($O263)/100,0)))*10000+ROW())</f>
        <v/>
      </c>
    </row>
    <row r="264">
      <c r="A264" s="11" t="n"/>
      <c r="B264" s="12">
        <f>IF($S264="","",IFERROR(MATCH($S264,IMPOSTAZIONI!$F$5:$F$12,0),9)&amp;" · "&amp;$S264)</f>
        <v/>
      </c>
      <c r="C264" s="13" t="n"/>
      <c r="D264" s="14" t="n"/>
      <c r="E264" s="11" t="n"/>
      <c r="F264" s="15">
        <f>IF($A264="","",IF(LEN(IF(AND($C264&lt;&gt;"",$C264=TODAY())," · oggi in centro","")&amp;IF(AND($C264&lt;&gt;"",$C264&gt;=TODAY(),N($D264)+1&gt;=IMPOSTAZIONI!$C$5)," · ultima del ciclo, proponi il mantenimento","")&amp;IF(AND($C264&lt;&gt;"",$C264&gt;=TODAY(),$I264&lt;&gt;"",$C264-$I264&lt;IMPOSTAZIONI!$C$6)," · rientro anticipato, meno di "&amp;IMPOSTAZIONI!$C$6&amp;" giorni","")&amp;IF(AND($C264&lt;&gt;"",$C264&gt;=TODAY(),$I264&lt;&gt;"",$C264-$I264&gt;IMPOSTAZIONI!$C$7)," · rientro oltre "&amp;IMPOSTAZIONI!$C$7&amp;" giorni",""))=0,"",MID(IF(AND($C264&lt;&gt;"",$C264=TODAY())," · oggi in centro","")&amp;IF(AND($C264&lt;&gt;"",$C264&gt;=TODAY(),N($D264)+1&gt;=IMPOSTAZIONI!$C$5)," · ultima del ciclo, proponi il mantenimento","")&amp;IF(AND($C264&lt;&gt;"",$C264&gt;=TODAY(),$I264&lt;&gt;"",$C264-$I264&lt;IMPOSTAZIONI!$C$6)," · rientro anticipato, meno di "&amp;IMPOSTAZIONI!$C$6&amp;" giorni","")&amp;IF(AND($C264&lt;&gt;"",$C264&gt;=TODAY(),$I264&lt;&gt;"",$C264-$I264&gt;IMPOSTAZIONI!$C$7)," · rientro oltre "&amp;IMPOSTAZIONI!$C$7&amp;" giorni",""),4,300)))</f>
        <v/>
      </c>
      <c r="G264" s="16" t="n"/>
      <c r="H264" s="11" t="n"/>
      <c r="I264" s="13" t="n"/>
      <c r="J264" s="17">
        <f>IF($I264="","",TODAY()-$I264)</f>
        <v/>
      </c>
      <c r="K264" s="17">
        <f>IF($C264="","",$C264-TODAY())</f>
        <v/>
      </c>
      <c r="L264" s="15">
        <f>IF($A264="","",N($D264)&amp;"/"&amp;IMPOSTAZIONI!$C$5)</f>
        <v/>
      </c>
      <c r="M264" s="15">
        <f>IF($S264="","",IF($S264="RECUPERA CON INCENTIVO",INCENTIVI!$C$7,IF($S264="RICHIAMO MANTENIMENTO",INCENTIVI!$C$6,IF(OR($S264="FUORI FINESTRA",$S264="ULTIMA SEDUTA"),INCENTIVI!$C$5,""))))</f>
        <v/>
      </c>
      <c r="N264" s="18" t="n"/>
      <c r="O264" s="19">
        <f>IF($A264="","",N($D264)*N($N264))</f>
        <v/>
      </c>
      <c r="P264" s="19">
        <f>IF($A264="","",MAX(0,(IMPOSTAZIONI!$C$5-N($D264))*N($N264)))</f>
        <v/>
      </c>
      <c r="Q264" s="13" t="n"/>
      <c r="R264" s="11" t="n"/>
      <c r="S264" s="15">
        <f>IF($A264="","",IF(AND($C264&lt;&gt;"",$C264&lt;TODAY(),OR($I264="",$I264&lt;$C264)),"APPUNTAMENTO SALTATO",IF(AND($C264&lt;&gt;"",$C264-TODAY()=1),"CONFERMA DOMANI",IF(AND($C264&lt;&gt;"",$C264-TODAY()=IMPOSTAZIONI!$C$8),"CHIAMA PER CONFERMA",IF(AND($C264&lt;&gt;"",$C264&gt;=TODAY()),"",IF($E264="Sospesa","",IF($E264="Persa","RECUPERA CON INCENTIVO",IF(AND($I264&lt;&gt;"",TODAY()&gt;=EDATE($I264,IMPOSTAZIONI!$C$10)),"RECUPERA CON INCENTIVO",IF($E264="Mantenimento",IF(AND($I264&lt;&gt;"",TODAY()-$I264&gt;=IMPOSTAZIONI!$C$9),"RICHIAMO MANTENIMENTO",""),IF($E264="In ciclo",IF(N($D264)&gt;=IMPOSTAZIONI!$C$5,"ULTIMA SEDUTA",IF(AND($I264&lt;&gt;"",TODAY()-$I264&gt;IMPOSTAZIONI!$C$7),"FUORI FINESTRA","PRENDI APPUNTAMENTO")),IF($E264="Da contattare","PRENDI APPUNTAMENTO","")))))))))))</f>
        <v/>
      </c>
      <c r="T264" s="17">
        <f>IF($S264="","",IFERROR(MATCH($S264,IMPOSTAZIONI!$F$5:$F$12,0),9)*100000000+(9999-MIN(9999,ROUND(N($O264)/100,0)))*10000+ROW())</f>
        <v/>
      </c>
    </row>
    <row r="265">
      <c r="A265" s="11" t="n"/>
      <c r="B265" s="12">
        <f>IF($S265="","",IFERROR(MATCH($S265,IMPOSTAZIONI!$F$5:$F$12,0),9)&amp;" · "&amp;$S265)</f>
        <v/>
      </c>
      <c r="C265" s="13" t="n"/>
      <c r="D265" s="14" t="n"/>
      <c r="E265" s="11" t="n"/>
      <c r="F265" s="15">
        <f>IF($A265="","",IF(LEN(IF(AND($C265&lt;&gt;"",$C265=TODAY())," · oggi in centro","")&amp;IF(AND($C265&lt;&gt;"",$C265&gt;=TODAY(),N($D265)+1&gt;=IMPOSTAZIONI!$C$5)," · ultima del ciclo, proponi il mantenimento","")&amp;IF(AND($C265&lt;&gt;"",$C265&gt;=TODAY(),$I265&lt;&gt;"",$C265-$I265&lt;IMPOSTAZIONI!$C$6)," · rientro anticipato, meno di "&amp;IMPOSTAZIONI!$C$6&amp;" giorni","")&amp;IF(AND($C265&lt;&gt;"",$C265&gt;=TODAY(),$I265&lt;&gt;"",$C265-$I265&gt;IMPOSTAZIONI!$C$7)," · rientro oltre "&amp;IMPOSTAZIONI!$C$7&amp;" giorni",""))=0,"",MID(IF(AND($C265&lt;&gt;"",$C265=TODAY())," · oggi in centro","")&amp;IF(AND($C265&lt;&gt;"",$C265&gt;=TODAY(),N($D265)+1&gt;=IMPOSTAZIONI!$C$5)," · ultima del ciclo, proponi il mantenimento","")&amp;IF(AND($C265&lt;&gt;"",$C265&gt;=TODAY(),$I265&lt;&gt;"",$C265-$I265&lt;IMPOSTAZIONI!$C$6)," · rientro anticipato, meno di "&amp;IMPOSTAZIONI!$C$6&amp;" giorni","")&amp;IF(AND($C265&lt;&gt;"",$C265&gt;=TODAY(),$I265&lt;&gt;"",$C265-$I265&gt;IMPOSTAZIONI!$C$7)," · rientro oltre "&amp;IMPOSTAZIONI!$C$7&amp;" giorni",""),4,300)))</f>
        <v/>
      </c>
      <c r="G265" s="16" t="n"/>
      <c r="H265" s="11" t="n"/>
      <c r="I265" s="13" t="n"/>
      <c r="J265" s="17">
        <f>IF($I265="","",TODAY()-$I265)</f>
        <v/>
      </c>
      <c r="K265" s="17">
        <f>IF($C265="","",$C265-TODAY())</f>
        <v/>
      </c>
      <c r="L265" s="15">
        <f>IF($A265="","",N($D265)&amp;"/"&amp;IMPOSTAZIONI!$C$5)</f>
        <v/>
      </c>
      <c r="M265" s="15">
        <f>IF($S265="","",IF($S265="RECUPERA CON INCENTIVO",INCENTIVI!$C$7,IF($S265="RICHIAMO MANTENIMENTO",INCENTIVI!$C$6,IF(OR($S265="FUORI FINESTRA",$S265="ULTIMA SEDUTA"),INCENTIVI!$C$5,""))))</f>
        <v/>
      </c>
      <c r="N265" s="18" t="n"/>
      <c r="O265" s="19">
        <f>IF($A265="","",N($D265)*N($N265))</f>
        <v/>
      </c>
      <c r="P265" s="19">
        <f>IF($A265="","",MAX(0,(IMPOSTAZIONI!$C$5-N($D265))*N($N265)))</f>
        <v/>
      </c>
      <c r="Q265" s="13" t="n"/>
      <c r="R265" s="11" t="n"/>
      <c r="S265" s="15">
        <f>IF($A265="","",IF(AND($C265&lt;&gt;"",$C265&lt;TODAY(),OR($I265="",$I265&lt;$C265)),"APPUNTAMENTO SALTATO",IF(AND($C265&lt;&gt;"",$C265-TODAY()=1),"CONFERMA DOMANI",IF(AND($C265&lt;&gt;"",$C265-TODAY()=IMPOSTAZIONI!$C$8),"CHIAMA PER CONFERMA",IF(AND($C265&lt;&gt;"",$C265&gt;=TODAY()),"",IF($E265="Sospesa","",IF($E265="Persa","RECUPERA CON INCENTIVO",IF(AND($I265&lt;&gt;"",TODAY()&gt;=EDATE($I265,IMPOSTAZIONI!$C$10)),"RECUPERA CON INCENTIVO",IF($E265="Mantenimento",IF(AND($I265&lt;&gt;"",TODAY()-$I265&gt;=IMPOSTAZIONI!$C$9),"RICHIAMO MANTENIMENTO",""),IF($E265="In ciclo",IF(N($D265)&gt;=IMPOSTAZIONI!$C$5,"ULTIMA SEDUTA",IF(AND($I265&lt;&gt;"",TODAY()-$I265&gt;IMPOSTAZIONI!$C$7),"FUORI FINESTRA","PRENDI APPUNTAMENTO")),IF($E265="Da contattare","PRENDI APPUNTAMENTO","")))))))))))</f>
        <v/>
      </c>
      <c r="T265" s="17">
        <f>IF($S265="","",IFERROR(MATCH($S265,IMPOSTAZIONI!$F$5:$F$12,0),9)*100000000+(9999-MIN(9999,ROUND(N($O265)/100,0)))*10000+ROW())</f>
        <v/>
      </c>
    </row>
    <row r="266">
      <c r="A266" s="11" t="n"/>
      <c r="B266" s="12">
        <f>IF($S266="","",IFERROR(MATCH($S266,IMPOSTAZIONI!$F$5:$F$12,0),9)&amp;" · "&amp;$S266)</f>
        <v/>
      </c>
      <c r="C266" s="13" t="n"/>
      <c r="D266" s="14" t="n"/>
      <c r="E266" s="11" t="n"/>
      <c r="F266" s="15">
        <f>IF($A266="","",IF(LEN(IF(AND($C266&lt;&gt;"",$C266=TODAY())," · oggi in centro","")&amp;IF(AND($C266&lt;&gt;"",$C266&gt;=TODAY(),N($D266)+1&gt;=IMPOSTAZIONI!$C$5)," · ultima del ciclo, proponi il mantenimento","")&amp;IF(AND($C266&lt;&gt;"",$C266&gt;=TODAY(),$I266&lt;&gt;"",$C266-$I266&lt;IMPOSTAZIONI!$C$6)," · rientro anticipato, meno di "&amp;IMPOSTAZIONI!$C$6&amp;" giorni","")&amp;IF(AND($C266&lt;&gt;"",$C266&gt;=TODAY(),$I266&lt;&gt;"",$C266-$I266&gt;IMPOSTAZIONI!$C$7)," · rientro oltre "&amp;IMPOSTAZIONI!$C$7&amp;" giorni",""))=0,"",MID(IF(AND($C266&lt;&gt;"",$C266=TODAY())," · oggi in centro","")&amp;IF(AND($C266&lt;&gt;"",$C266&gt;=TODAY(),N($D266)+1&gt;=IMPOSTAZIONI!$C$5)," · ultima del ciclo, proponi il mantenimento","")&amp;IF(AND($C266&lt;&gt;"",$C266&gt;=TODAY(),$I266&lt;&gt;"",$C266-$I266&lt;IMPOSTAZIONI!$C$6)," · rientro anticipato, meno di "&amp;IMPOSTAZIONI!$C$6&amp;" giorni","")&amp;IF(AND($C266&lt;&gt;"",$C266&gt;=TODAY(),$I266&lt;&gt;"",$C266-$I266&gt;IMPOSTAZIONI!$C$7)," · rientro oltre "&amp;IMPOSTAZIONI!$C$7&amp;" giorni",""),4,300)))</f>
        <v/>
      </c>
      <c r="G266" s="16" t="n"/>
      <c r="H266" s="11" t="n"/>
      <c r="I266" s="13" t="n"/>
      <c r="J266" s="17">
        <f>IF($I266="","",TODAY()-$I266)</f>
        <v/>
      </c>
      <c r="K266" s="17">
        <f>IF($C266="","",$C266-TODAY())</f>
        <v/>
      </c>
      <c r="L266" s="15">
        <f>IF($A266="","",N($D266)&amp;"/"&amp;IMPOSTAZIONI!$C$5)</f>
        <v/>
      </c>
      <c r="M266" s="15">
        <f>IF($S266="","",IF($S266="RECUPERA CON INCENTIVO",INCENTIVI!$C$7,IF($S266="RICHIAMO MANTENIMENTO",INCENTIVI!$C$6,IF(OR($S266="FUORI FINESTRA",$S266="ULTIMA SEDUTA"),INCENTIVI!$C$5,""))))</f>
        <v/>
      </c>
      <c r="N266" s="18" t="n"/>
      <c r="O266" s="19">
        <f>IF($A266="","",N($D266)*N($N266))</f>
        <v/>
      </c>
      <c r="P266" s="19">
        <f>IF($A266="","",MAX(0,(IMPOSTAZIONI!$C$5-N($D266))*N($N266)))</f>
        <v/>
      </c>
      <c r="Q266" s="13" t="n"/>
      <c r="R266" s="11" t="n"/>
      <c r="S266" s="15">
        <f>IF($A266="","",IF(AND($C266&lt;&gt;"",$C266&lt;TODAY(),OR($I266="",$I266&lt;$C266)),"APPUNTAMENTO SALTATO",IF(AND($C266&lt;&gt;"",$C266-TODAY()=1),"CONFERMA DOMANI",IF(AND($C266&lt;&gt;"",$C266-TODAY()=IMPOSTAZIONI!$C$8),"CHIAMA PER CONFERMA",IF(AND($C266&lt;&gt;"",$C266&gt;=TODAY()),"",IF($E266="Sospesa","",IF($E266="Persa","RECUPERA CON INCENTIVO",IF(AND($I266&lt;&gt;"",TODAY()&gt;=EDATE($I266,IMPOSTAZIONI!$C$10)),"RECUPERA CON INCENTIVO",IF($E266="Mantenimento",IF(AND($I266&lt;&gt;"",TODAY()-$I266&gt;=IMPOSTAZIONI!$C$9),"RICHIAMO MANTENIMENTO",""),IF($E266="In ciclo",IF(N($D266)&gt;=IMPOSTAZIONI!$C$5,"ULTIMA SEDUTA",IF(AND($I266&lt;&gt;"",TODAY()-$I266&gt;IMPOSTAZIONI!$C$7),"FUORI FINESTRA","PRENDI APPUNTAMENTO")),IF($E266="Da contattare","PRENDI APPUNTAMENTO","")))))))))))</f>
        <v/>
      </c>
      <c r="T266" s="17">
        <f>IF($S266="","",IFERROR(MATCH($S266,IMPOSTAZIONI!$F$5:$F$12,0),9)*100000000+(9999-MIN(9999,ROUND(N($O266)/100,0)))*10000+ROW())</f>
        <v/>
      </c>
    </row>
    <row r="267">
      <c r="A267" s="11" t="n"/>
      <c r="B267" s="12">
        <f>IF($S267="","",IFERROR(MATCH($S267,IMPOSTAZIONI!$F$5:$F$12,0),9)&amp;" · "&amp;$S267)</f>
        <v/>
      </c>
      <c r="C267" s="13" t="n"/>
      <c r="D267" s="14" t="n"/>
      <c r="E267" s="11" t="n"/>
      <c r="F267" s="15">
        <f>IF($A267="","",IF(LEN(IF(AND($C267&lt;&gt;"",$C267=TODAY())," · oggi in centro","")&amp;IF(AND($C267&lt;&gt;"",$C267&gt;=TODAY(),N($D267)+1&gt;=IMPOSTAZIONI!$C$5)," · ultima del ciclo, proponi il mantenimento","")&amp;IF(AND($C267&lt;&gt;"",$C267&gt;=TODAY(),$I267&lt;&gt;"",$C267-$I267&lt;IMPOSTAZIONI!$C$6)," · rientro anticipato, meno di "&amp;IMPOSTAZIONI!$C$6&amp;" giorni","")&amp;IF(AND($C267&lt;&gt;"",$C267&gt;=TODAY(),$I267&lt;&gt;"",$C267-$I267&gt;IMPOSTAZIONI!$C$7)," · rientro oltre "&amp;IMPOSTAZIONI!$C$7&amp;" giorni",""))=0,"",MID(IF(AND($C267&lt;&gt;"",$C267=TODAY())," · oggi in centro","")&amp;IF(AND($C267&lt;&gt;"",$C267&gt;=TODAY(),N($D267)+1&gt;=IMPOSTAZIONI!$C$5)," · ultima del ciclo, proponi il mantenimento","")&amp;IF(AND($C267&lt;&gt;"",$C267&gt;=TODAY(),$I267&lt;&gt;"",$C267-$I267&lt;IMPOSTAZIONI!$C$6)," · rientro anticipato, meno di "&amp;IMPOSTAZIONI!$C$6&amp;" giorni","")&amp;IF(AND($C267&lt;&gt;"",$C267&gt;=TODAY(),$I267&lt;&gt;"",$C267-$I267&gt;IMPOSTAZIONI!$C$7)," · rientro oltre "&amp;IMPOSTAZIONI!$C$7&amp;" giorni",""),4,300)))</f>
        <v/>
      </c>
      <c r="G267" s="16" t="n"/>
      <c r="H267" s="11" t="n"/>
      <c r="I267" s="13" t="n"/>
      <c r="J267" s="17">
        <f>IF($I267="","",TODAY()-$I267)</f>
        <v/>
      </c>
      <c r="K267" s="17">
        <f>IF($C267="","",$C267-TODAY())</f>
        <v/>
      </c>
      <c r="L267" s="15">
        <f>IF($A267="","",N($D267)&amp;"/"&amp;IMPOSTAZIONI!$C$5)</f>
        <v/>
      </c>
      <c r="M267" s="15">
        <f>IF($S267="","",IF($S267="RECUPERA CON INCENTIVO",INCENTIVI!$C$7,IF($S267="RICHIAMO MANTENIMENTO",INCENTIVI!$C$6,IF(OR($S267="FUORI FINESTRA",$S267="ULTIMA SEDUTA"),INCENTIVI!$C$5,""))))</f>
        <v/>
      </c>
      <c r="N267" s="18" t="n"/>
      <c r="O267" s="19">
        <f>IF($A267="","",N($D267)*N($N267))</f>
        <v/>
      </c>
      <c r="P267" s="19">
        <f>IF($A267="","",MAX(0,(IMPOSTAZIONI!$C$5-N($D267))*N($N267)))</f>
        <v/>
      </c>
      <c r="Q267" s="13" t="n"/>
      <c r="R267" s="11" t="n"/>
      <c r="S267" s="15">
        <f>IF($A267="","",IF(AND($C267&lt;&gt;"",$C267&lt;TODAY(),OR($I267="",$I267&lt;$C267)),"APPUNTAMENTO SALTATO",IF(AND($C267&lt;&gt;"",$C267-TODAY()=1),"CONFERMA DOMANI",IF(AND($C267&lt;&gt;"",$C267-TODAY()=IMPOSTAZIONI!$C$8),"CHIAMA PER CONFERMA",IF(AND($C267&lt;&gt;"",$C267&gt;=TODAY()),"",IF($E267="Sospesa","",IF($E267="Persa","RECUPERA CON INCENTIVO",IF(AND($I267&lt;&gt;"",TODAY()&gt;=EDATE($I267,IMPOSTAZIONI!$C$10)),"RECUPERA CON INCENTIVO",IF($E267="Mantenimento",IF(AND($I267&lt;&gt;"",TODAY()-$I267&gt;=IMPOSTAZIONI!$C$9),"RICHIAMO MANTENIMENTO",""),IF($E267="In ciclo",IF(N($D267)&gt;=IMPOSTAZIONI!$C$5,"ULTIMA SEDUTA",IF(AND($I267&lt;&gt;"",TODAY()-$I267&gt;IMPOSTAZIONI!$C$7),"FUORI FINESTRA","PRENDI APPUNTAMENTO")),IF($E267="Da contattare","PRENDI APPUNTAMENTO","")))))))))))</f>
        <v/>
      </c>
      <c r="T267" s="17">
        <f>IF($S267="","",IFERROR(MATCH($S267,IMPOSTAZIONI!$F$5:$F$12,0),9)*100000000+(9999-MIN(9999,ROUND(N($O267)/100,0)))*10000+ROW())</f>
        <v/>
      </c>
    </row>
    <row r="268">
      <c r="A268" s="11" t="n"/>
      <c r="B268" s="12">
        <f>IF($S268="","",IFERROR(MATCH($S268,IMPOSTAZIONI!$F$5:$F$12,0),9)&amp;" · "&amp;$S268)</f>
        <v/>
      </c>
      <c r="C268" s="13" t="n"/>
      <c r="D268" s="14" t="n"/>
      <c r="E268" s="11" t="n"/>
      <c r="F268" s="15">
        <f>IF($A268="","",IF(LEN(IF(AND($C268&lt;&gt;"",$C268=TODAY())," · oggi in centro","")&amp;IF(AND($C268&lt;&gt;"",$C268&gt;=TODAY(),N($D268)+1&gt;=IMPOSTAZIONI!$C$5)," · ultima del ciclo, proponi il mantenimento","")&amp;IF(AND($C268&lt;&gt;"",$C268&gt;=TODAY(),$I268&lt;&gt;"",$C268-$I268&lt;IMPOSTAZIONI!$C$6)," · rientro anticipato, meno di "&amp;IMPOSTAZIONI!$C$6&amp;" giorni","")&amp;IF(AND($C268&lt;&gt;"",$C268&gt;=TODAY(),$I268&lt;&gt;"",$C268-$I268&gt;IMPOSTAZIONI!$C$7)," · rientro oltre "&amp;IMPOSTAZIONI!$C$7&amp;" giorni",""))=0,"",MID(IF(AND($C268&lt;&gt;"",$C268=TODAY())," · oggi in centro","")&amp;IF(AND($C268&lt;&gt;"",$C268&gt;=TODAY(),N($D268)+1&gt;=IMPOSTAZIONI!$C$5)," · ultima del ciclo, proponi il mantenimento","")&amp;IF(AND($C268&lt;&gt;"",$C268&gt;=TODAY(),$I268&lt;&gt;"",$C268-$I268&lt;IMPOSTAZIONI!$C$6)," · rientro anticipato, meno di "&amp;IMPOSTAZIONI!$C$6&amp;" giorni","")&amp;IF(AND($C268&lt;&gt;"",$C268&gt;=TODAY(),$I268&lt;&gt;"",$C268-$I268&gt;IMPOSTAZIONI!$C$7)," · rientro oltre "&amp;IMPOSTAZIONI!$C$7&amp;" giorni",""),4,300)))</f>
        <v/>
      </c>
      <c r="G268" s="16" t="n"/>
      <c r="H268" s="11" t="n"/>
      <c r="I268" s="13" t="n"/>
      <c r="J268" s="17">
        <f>IF($I268="","",TODAY()-$I268)</f>
        <v/>
      </c>
      <c r="K268" s="17">
        <f>IF($C268="","",$C268-TODAY())</f>
        <v/>
      </c>
      <c r="L268" s="15">
        <f>IF($A268="","",N($D268)&amp;"/"&amp;IMPOSTAZIONI!$C$5)</f>
        <v/>
      </c>
      <c r="M268" s="15">
        <f>IF($S268="","",IF($S268="RECUPERA CON INCENTIVO",INCENTIVI!$C$7,IF($S268="RICHIAMO MANTENIMENTO",INCENTIVI!$C$6,IF(OR($S268="FUORI FINESTRA",$S268="ULTIMA SEDUTA"),INCENTIVI!$C$5,""))))</f>
        <v/>
      </c>
      <c r="N268" s="18" t="n"/>
      <c r="O268" s="19">
        <f>IF($A268="","",N($D268)*N($N268))</f>
        <v/>
      </c>
      <c r="P268" s="19">
        <f>IF($A268="","",MAX(0,(IMPOSTAZIONI!$C$5-N($D268))*N($N268)))</f>
        <v/>
      </c>
      <c r="Q268" s="13" t="n"/>
      <c r="R268" s="11" t="n"/>
      <c r="S268" s="15">
        <f>IF($A268="","",IF(AND($C268&lt;&gt;"",$C268&lt;TODAY(),OR($I268="",$I268&lt;$C268)),"APPUNTAMENTO SALTATO",IF(AND($C268&lt;&gt;"",$C268-TODAY()=1),"CONFERMA DOMANI",IF(AND($C268&lt;&gt;"",$C268-TODAY()=IMPOSTAZIONI!$C$8),"CHIAMA PER CONFERMA",IF(AND($C268&lt;&gt;"",$C268&gt;=TODAY()),"",IF($E268="Sospesa","",IF($E268="Persa","RECUPERA CON INCENTIVO",IF(AND($I268&lt;&gt;"",TODAY()&gt;=EDATE($I268,IMPOSTAZIONI!$C$10)),"RECUPERA CON INCENTIVO",IF($E268="Mantenimento",IF(AND($I268&lt;&gt;"",TODAY()-$I268&gt;=IMPOSTAZIONI!$C$9),"RICHIAMO MANTENIMENTO",""),IF($E268="In ciclo",IF(N($D268)&gt;=IMPOSTAZIONI!$C$5,"ULTIMA SEDUTA",IF(AND($I268&lt;&gt;"",TODAY()-$I268&gt;IMPOSTAZIONI!$C$7),"FUORI FINESTRA","PRENDI APPUNTAMENTO")),IF($E268="Da contattare","PRENDI APPUNTAMENTO","")))))))))))</f>
        <v/>
      </c>
      <c r="T268" s="17">
        <f>IF($S268="","",IFERROR(MATCH($S268,IMPOSTAZIONI!$F$5:$F$12,0),9)*100000000+(9999-MIN(9999,ROUND(N($O268)/100,0)))*10000+ROW())</f>
        <v/>
      </c>
    </row>
    <row r="269">
      <c r="A269" s="11" t="n"/>
      <c r="B269" s="12">
        <f>IF($S269="","",IFERROR(MATCH($S269,IMPOSTAZIONI!$F$5:$F$12,0),9)&amp;" · "&amp;$S269)</f>
        <v/>
      </c>
      <c r="C269" s="13" t="n"/>
      <c r="D269" s="14" t="n"/>
      <c r="E269" s="11" t="n"/>
      <c r="F269" s="15">
        <f>IF($A269="","",IF(LEN(IF(AND($C269&lt;&gt;"",$C269=TODAY())," · oggi in centro","")&amp;IF(AND($C269&lt;&gt;"",$C269&gt;=TODAY(),N($D269)+1&gt;=IMPOSTAZIONI!$C$5)," · ultima del ciclo, proponi il mantenimento","")&amp;IF(AND($C269&lt;&gt;"",$C269&gt;=TODAY(),$I269&lt;&gt;"",$C269-$I269&lt;IMPOSTAZIONI!$C$6)," · rientro anticipato, meno di "&amp;IMPOSTAZIONI!$C$6&amp;" giorni","")&amp;IF(AND($C269&lt;&gt;"",$C269&gt;=TODAY(),$I269&lt;&gt;"",$C269-$I269&gt;IMPOSTAZIONI!$C$7)," · rientro oltre "&amp;IMPOSTAZIONI!$C$7&amp;" giorni",""))=0,"",MID(IF(AND($C269&lt;&gt;"",$C269=TODAY())," · oggi in centro","")&amp;IF(AND($C269&lt;&gt;"",$C269&gt;=TODAY(),N($D269)+1&gt;=IMPOSTAZIONI!$C$5)," · ultima del ciclo, proponi il mantenimento","")&amp;IF(AND($C269&lt;&gt;"",$C269&gt;=TODAY(),$I269&lt;&gt;"",$C269-$I269&lt;IMPOSTAZIONI!$C$6)," · rientro anticipato, meno di "&amp;IMPOSTAZIONI!$C$6&amp;" giorni","")&amp;IF(AND($C269&lt;&gt;"",$C269&gt;=TODAY(),$I269&lt;&gt;"",$C269-$I269&gt;IMPOSTAZIONI!$C$7)," · rientro oltre "&amp;IMPOSTAZIONI!$C$7&amp;" giorni",""),4,300)))</f>
        <v/>
      </c>
      <c r="G269" s="16" t="n"/>
      <c r="H269" s="11" t="n"/>
      <c r="I269" s="13" t="n"/>
      <c r="J269" s="17">
        <f>IF($I269="","",TODAY()-$I269)</f>
        <v/>
      </c>
      <c r="K269" s="17">
        <f>IF($C269="","",$C269-TODAY())</f>
        <v/>
      </c>
      <c r="L269" s="15">
        <f>IF($A269="","",N($D269)&amp;"/"&amp;IMPOSTAZIONI!$C$5)</f>
        <v/>
      </c>
      <c r="M269" s="15">
        <f>IF($S269="","",IF($S269="RECUPERA CON INCENTIVO",INCENTIVI!$C$7,IF($S269="RICHIAMO MANTENIMENTO",INCENTIVI!$C$6,IF(OR($S269="FUORI FINESTRA",$S269="ULTIMA SEDUTA"),INCENTIVI!$C$5,""))))</f>
        <v/>
      </c>
      <c r="N269" s="18" t="n"/>
      <c r="O269" s="19">
        <f>IF($A269="","",N($D269)*N($N269))</f>
        <v/>
      </c>
      <c r="P269" s="19">
        <f>IF($A269="","",MAX(0,(IMPOSTAZIONI!$C$5-N($D269))*N($N269)))</f>
        <v/>
      </c>
      <c r="Q269" s="13" t="n"/>
      <c r="R269" s="11" t="n"/>
      <c r="S269" s="15">
        <f>IF($A269="","",IF(AND($C269&lt;&gt;"",$C269&lt;TODAY(),OR($I269="",$I269&lt;$C269)),"APPUNTAMENTO SALTATO",IF(AND($C269&lt;&gt;"",$C269-TODAY()=1),"CONFERMA DOMANI",IF(AND($C269&lt;&gt;"",$C269-TODAY()=IMPOSTAZIONI!$C$8),"CHIAMA PER CONFERMA",IF(AND($C269&lt;&gt;"",$C269&gt;=TODAY()),"",IF($E269="Sospesa","",IF($E269="Persa","RECUPERA CON INCENTIVO",IF(AND($I269&lt;&gt;"",TODAY()&gt;=EDATE($I269,IMPOSTAZIONI!$C$10)),"RECUPERA CON INCENTIVO",IF($E269="Mantenimento",IF(AND($I269&lt;&gt;"",TODAY()-$I269&gt;=IMPOSTAZIONI!$C$9),"RICHIAMO MANTENIMENTO",""),IF($E269="In ciclo",IF(N($D269)&gt;=IMPOSTAZIONI!$C$5,"ULTIMA SEDUTA",IF(AND($I269&lt;&gt;"",TODAY()-$I269&gt;IMPOSTAZIONI!$C$7),"FUORI FINESTRA","PRENDI APPUNTAMENTO")),IF($E269="Da contattare","PRENDI APPUNTAMENTO","")))))))))))</f>
        <v/>
      </c>
      <c r="T269" s="17">
        <f>IF($S269="","",IFERROR(MATCH($S269,IMPOSTAZIONI!$F$5:$F$12,0),9)*100000000+(9999-MIN(9999,ROUND(N($O269)/100,0)))*10000+ROW())</f>
        <v/>
      </c>
    </row>
    <row r="270">
      <c r="A270" s="11" t="n"/>
      <c r="B270" s="12">
        <f>IF($S270="","",IFERROR(MATCH($S270,IMPOSTAZIONI!$F$5:$F$12,0),9)&amp;" · "&amp;$S270)</f>
        <v/>
      </c>
      <c r="C270" s="13" t="n"/>
      <c r="D270" s="14" t="n"/>
      <c r="E270" s="11" t="n"/>
      <c r="F270" s="15">
        <f>IF($A270="","",IF(LEN(IF(AND($C270&lt;&gt;"",$C270=TODAY())," · oggi in centro","")&amp;IF(AND($C270&lt;&gt;"",$C270&gt;=TODAY(),N($D270)+1&gt;=IMPOSTAZIONI!$C$5)," · ultima del ciclo, proponi il mantenimento","")&amp;IF(AND($C270&lt;&gt;"",$C270&gt;=TODAY(),$I270&lt;&gt;"",$C270-$I270&lt;IMPOSTAZIONI!$C$6)," · rientro anticipato, meno di "&amp;IMPOSTAZIONI!$C$6&amp;" giorni","")&amp;IF(AND($C270&lt;&gt;"",$C270&gt;=TODAY(),$I270&lt;&gt;"",$C270-$I270&gt;IMPOSTAZIONI!$C$7)," · rientro oltre "&amp;IMPOSTAZIONI!$C$7&amp;" giorni",""))=0,"",MID(IF(AND($C270&lt;&gt;"",$C270=TODAY())," · oggi in centro","")&amp;IF(AND($C270&lt;&gt;"",$C270&gt;=TODAY(),N($D270)+1&gt;=IMPOSTAZIONI!$C$5)," · ultima del ciclo, proponi il mantenimento","")&amp;IF(AND($C270&lt;&gt;"",$C270&gt;=TODAY(),$I270&lt;&gt;"",$C270-$I270&lt;IMPOSTAZIONI!$C$6)," · rientro anticipato, meno di "&amp;IMPOSTAZIONI!$C$6&amp;" giorni","")&amp;IF(AND($C270&lt;&gt;"",$C270&gt;=TODAY(),$I270&lt;&gt;"",$C270-$I270&gt;IMPOSTAZIONI!$C$7)," · rientro oltre "&amp;IMPOSTAZIONI!$C$7&amp;" giorni",""),4,300)))</f>
        <v/>
      </c>
      <c r="G270" s="16" t="n"/>
      <c r="H270" s="11" t="n"/>
      <c r="I270" s="13" t="n"/>
      <c r="J270" s="17">
        <f>IF($I270="","",TODAY()-$I270)</f>
        <v/>
      </c>
      <c r="K270" s="17">
        <f>IF($C270="","",$C270-TODAY())</f>
        <v/>
      </c>
      <c r="L270" s="15">
        <f>IF($A270="","",N($D270)&amp;"/"&amp;IMPOSTAZIONI!$C$5)</f>
        <v/>
      </c>
      <c r="M270" s="15">
        <f>IF($S270="","",IF($S270="RECUPERA CON INCENTIVO",INCENTIVI!$C$7,IF($S270="RICHIAMO MANTENIMENTO",INCENTIVI!$C$6,IF(OR($S270="FUORI FINESTRA",$S270="ULTIMA SEDUTA"),INCENTIVI!$C$5,""))))</f>
        <v/>
      </c>
      <c r="N270" s="18" t="n"/>
      <c r="O270" s="19">
        <f>IF($A270="","",N($D270)*N($N270))</f>
        <v/>
      </c>
      <c r="P270" s="19">
        <f>IF($A270="","",MAX(0,(IMPOSTAZIONI!$C$5-N($D270))*N($N270)))</f>
        <v/>
      </c>
      <c r="Q270" s="13" t="n"/>
      <c r="R270" s="11" t="n"/>
      <c r="S270" s="15">
        <f>IF($A270="","",IF(AND($C270&lt;&gt;"",$C270&lt;TODAY(),OR($I270="",$I270&lt;$C270)),"APPUNTAMENTO SALTATO",IF(AND($C270&lt;&gt;"",$C270-TODAY()=1),"CONFERMA DOMANI",IF(AND($C270&lt;&gt;"",$C270-TODAY()=IMPOSTAZIONI!$C$8),"CHIAMA PER CONFERMA",IF(AND($C270&lt;&gt;"",$C270&gt;=TODAY()),"",IF($E270="Sospesa","",IF($E270="Persa","RECUPERA CON INCENTIVO",IF(AND($I270&lt;&gt;"",TODAY()&gt;=EDATE($I270,IMPOSTAZIONI!$C$10)),"RECUPERA CON INCENTIVO",IF($E270="Mantenimento",IF(AND($I270&lt;&gt;"",TODAY()-$I270&gt;=IMPOSTAZIONI!$C$9),"RICHIAMO MANTENIMENTO",""),IF($E270="In ciclo",IF(N($D270)&gt;=IMPOSTAZIONI!$C$5,"ULTIMA SEDUTA",IF(AND($I270&lt;&gt;"",TODAY()-$I270&gt;IMPOSTAZIONI!$C$7),"FUORI FINESTRA","PRENDI APPUNTAMENTO")),IF($E270="Da contattare","PRENDI APPUNTAMENTO","")))))))))))</f>
        <v/>
      </c>
      <c r="T270" s="17">
        <f>IF($S270="","",IFERROR(MATCH($S270,IMPOSTAZIONI!$F$5:$F$12,0),9)*100000000+(9999-MIN(9999,ROUND(N($O270)/100,0)))*10000+ROW())</f>
        <v/>
      </c>
    </row>
    <row r="271">
      <c r="A271" s="11" t="n"/>
      <c r="B271" s="12">
        <f>IF($S271="","",IFERROR(MATCH($S271,IMPOSTAZIONI!$F$5:$F$12,0),9)&amp;" · "&amp;$S271)</f>
        <v/>
      </c>
      <c r="C271" s="13" t="n"/>
      <c r="D271" s="14" t="n"/>
      <c r="E271" s="11" t="n"/>
      <c r="F271" s="15">
        <f>IF($A271="","",IF(LEN(IF(AND($C271&lt;&gt;"",$C271=TODAY())," · oggi in centro","")&amp;IF(AND($C271&lt;&gt;"",$C271&gt;=TODAY(),N($D271)+1&gt;=IMPOSTAZIONI!$C$5)," · ultima del ciclo, proponi il mantenimento","")&amp;IF(AND($C271&lt;&gt;"",$C271&gt;=TODAY(),$I271&lt;&gt;"",$C271-$I271&lt;IMPOSTAZIONI!$C$6)," · rientro anticipato, meno di "&amp;IMPOSTAZIONI!$C$6&amp;" giorni","")&amp;IF(AND($C271&lt;&gt;"",$C271&gt;=TODAY(),$I271&lt;&gt;"",$C271-$I271&gt;IMPOSTAZIONI!$C$7)," · rientro oltre "&amp;IMPOSTAZIONI!$C$7&amp;" giorni",""))=0,"",MID(IF(AND($C271&lt;&gt;"",$C271=TODAY())," · oggi in centro","")&amp;IF(AND($C271&lt;&gt;"",$C271&gt;=TODAY(),N($D271)+1&gt;=IMPOSTAZIONI!$C$5)," · ultima del ciclo, proponi il mantenimento","")&amp;IF(AND($C271&lt;&gt;"",$C271&gt;=TODAY(),$I271&lt;&gt;"",$C271-$I271&lt;IMPOSTAZIONI!$C$6)," · rientro anticipato, meno di "&amp;IMPOSTAZIONI!$C$6&amp;" giorni","")&amp;IF(AND($C271&lt;&gt;"",$C271&gt;=TODAY(),$I271&lt;&gt;"",$C271-$I271&gt;IMPOSTAZIONI!$C$7)," · rientro oltre "&amp;IMPOSTAZIONI!$C$7&amp;" giorni",""),4,300)))</f>
        <v/>
      </c>
      <c r="G271" s="16" t="n"/>
      <c r="H271" s="11" t="n"/>
      <c r="I271" s="13" t="n"/>
      <c r="J271" s="17">
        <f>IF($I271="","",TODAY()-$I271)</f>
        <v/>
      </c>
      <c r="K271" s="17">
        <f>IF($C271="","",$C271-TODAY())</f>
        <v/>
      </c>
      <c r="L271" s="15">
        <f>IF($A271="","",N($D271)&amp;"/"&amp;IMPOSTAZIONI!$C$5)</f>
        <v/>
      </c>
      <c r="M271" s="15">
        <f>IF($S271="","",IF($S271="RECUPERA CON INCENTIVO",INCENTIVI!$C$7,IF($S271="RICHIAMO MANTENIMENTO",INCENTIVI!$C$6,IF(OR($S271="FUORI FINESTRA",$S271="ULTIMA SEDUTA"),INCENTIVI!$C$5,""))))</f>
        <v/>
      </c>
      <c r="N271" s="18" t="n"/>
      <c r="O271" s="19">
        <f>IF($A271="","",N($D271)*N($N271))</f>
        <v/>
      </c>
      <c r="P271" s="19">
        <f>IF($A271="","",MAX(0,(IMPOSTAZIONI!$C$5-N($D271))*N($N271)))</f>
        <v/>
      </c>
      <c r="Q271" s="13" t="n"/>
      <c r="R271" s="11" t="n"/>
      <c r="S271" s="15">
        <f>IF($A271="","",IF(AND($C271&lt;&gt;"",$C271&lt;TODAY(),OR($I271="",$I271&lt;$C271)),"APPUNTAMENTO SALTATO",IF(AND($C271&lt;&gt;"",$C271-TODAY()=1),"CONFERMA DOMANI",IF(AND($C271&lt;&gt;"",$C271-TODAY()=IMPOSTAZIONI!$C$8),"CHIAMA PER CONFERMA",IF(AND($C271&lt;&gt;"",$C271&gt;=TODAY()),"",IF($E271="Sospesa","",IF($E271="Persa","RECUPERA CON INCENTIVO",IF(AND($I271&lt;&gt;"",TODAY()&gt;=EDATE($I271,IMPOSTAZIONI!$C$10)),"RECUPERA CON INCENTIVO",IF($E271="Mantenimento",IF(AND($I271&lt;&gt;"",TODAY()-$I271&gt;=IMPOSTAZIONI!$C$9),"RICHIAMO MANTENIMENTO",""),IF($E271="In ciclo",IF(N($D271)&gt;=IMPOSTAZIONI!$C$5,"ULTIMA SEDUTA",IF(AND($I271&lt;&gt;"",TODAY()-$I271&gt;IMPOSTAZIONI!$C$7),"FUORI FINESTRA","PRENDI APPUNTAMENTO")),IF($E271="Da contattare","PRENDI APPUNTAMENTO","")))))))))))</f>
        <v/>
      </c>
      <c r="T271" s="17">
        <f>IF($S271="","",IFERROR(MATCH($S271,IMPOSTAZIONI!$F$5:$F$12,0),9)*100000000+(9999-MIN(9999,ROUND(N($O271)/100,0)))*10000+ROW())</f>
        <v/>
      </c>
    </row>
    <row r="272">
      <c r="A272" s="11" t="n"/>
      <c r="B272" s="12">
        <f>IF($S272="","",IFERROR(MATCH($S272,IMPOSTAZIONI!$F$5:$F$12,0),9)&amp;" · "&amp;$S272)</f>
        <v/>
      </c>
      <c r="C272" s="13" t="n"/>
      <c r="D272" s="14" t="n"/>
      <c r="E272" s="11" t="n"/>
      <c r="F272" s="15">
        <f>IF($A272="","",IF(LEN(IF(AND($C272&lt;&gt;"",$C272=TODAY())," · oggi in centro","")&amp;IF(AND($C272&lt;&gt;"",$C272&gt;=TODAY(),N($D272)+1&gt;=IMPOSTAZIONI!$C$5)," · ultima del ciclo, proponi il mantenimento","")&amp;IF(AND($C272&lt;&gt;"",$C272&gt;=TODAY(),$I272&lt;&gt;"",$C272-$I272&lt;IMPOSTAZIONI!$C$6)," · rientro anticipato, meno di "&amp;IMPOSTAZIONI!$C$6&amp;" giorni","")&amp;IF(AND($C272&lt;&gt;"",$C272&gt;=TODAY(),$I272&lt;&gt;"",$C272-$I272&gt;IMPOSTAZIONI!$C$7)," · rientro oltre "&amp;IMPOSTAZIONI!$C$7&amp;" giorni",""))=0,"",MID(IF(AND($C272&lt;&gt;"",$C272=TODAY())," · oggi in centro","")&amp;IF(AND($C272&lt;&gt;"",$C272&gt;=TODAY(),N($D272)+1&gt;=IMPOSTAZIONI!$C$5)," · ultima del ciclo, proponi il mantenimento","")&amp;IF(AND($C272&lt;&gt;"",$C272&gt;=TODAY(),$I272&lt;&gt;"",$C272-$I272&lt;IMPOSTAZIONI!$C$6)," · rientro anticipato, meno di "&amp;IMPOSTAZIONI!$C$6&amp;" giorni","")&amp;IF(AND($C272&lt;&gt;"",$C272&gt;=TODAY(),$I272&lt;&gt;"",$C272-$I272&gt;IMPOSTAZIONI!$C$7)," · rientro oltre "&amp;IMPOSTAZIONI!$C$7&amp;" giorni",""),4,300)))</f>
        <v/>
      </c>
      <c r="G272" s="16" t="n"/>
      <c r="H272" s="11" t="n"/>
      <c r="I272" s="13" t="n"/>
      <c r="J272" s="17">
        <f>IF($I272="","",TODAY()-$I272)</f>
        <v/>
      </c>
      <c r="K272" s="17">
        <f>IF($C272="","",$C272-TODAY())</f>
        <v/>
      </c>
      <c r="L272" s="15">
        <f>IF($A272="","",N($D272)&amp;"/"&amp;IMPOSTAZIONI!$C$5)</f>
        <v/>
      </c>
      <c r="M272" s="15">
        <f>IF($S272="","",IF($S272="RECUPERA CON INCENTIVO",INCENTIVI!$C$7,IF($S272="RICHIAMO MANTENIMENTO",INCENTIVI!$C$6,IF(OR($S272="FUORI FINESTRA",$S272="ULTIMA SEDUTA"),INCENTIVI!$C$5,""))))</f>
        <v/>
      </c>
      <c r="N272" s="18" t="n"/>
      <c r="O272" s="19">
        <f>IF($A272="","",N($D272)*N($N272))</f>
        <v/>
      </c>
      <c r="P272" s="19">
        <f>IF($A272="","",MAX(0,(IMPOSTAZIONI!$C$5-N($D272))*N($N272)))</f>
        <v/>
      </c>
      <c r="Q272" s="13" t="n"/>
      <c r="R272" s="11" t="n"/>
      <c r="S272" s="15">
        <f>IF($A272="","",IF(AND($C272&lt;&gt;"",$C272&lt;TODAY(),OR($I272="",$I272&lt;$C272)),"APPUNTAMENTO SALTATO",IF(AND($C272&lt;&gt;"",$C272-TODAY()=1),"CONFERMA DOMANI",IF(AND($C272&lt;&gt;"",$C272-TODAY()=IMPOSTAZIONI!$C$8),"CHIAMA PER CONFERMA",IF(AND($C272&lt;&gt;"",$C272&gt;=TODAY()),"",IF($E272="Sospesa","",IF($E272="Persa","RECUPERA CON INCENTIVO",IF(AND($I272&lt;&gt;"",TODAY()&gt;=EDATE($I272,IMPOSTAZIONI!$C$10)),"RECUPERA CON INCENTIVO",IF($E272="Mantenimento",IF(AND($I272&lt;&gt;"",TODAY()-$I272&gt;=IMPOSTAZIONI!$C$9),"RICHIAMO MANTENIMENTO",""),IF($E272="In ciclo",IF(N($D272)&gt;=IMPOSTAZIONI!$C$5,"ULTIMA SEDUTA",IF(AND($I272&lt;&gt;"",TODAY()-$I272&gt;IMPOSTAZIONI!$C$7),"FUORI FINESTRA","PRENDI APPUNTAMENTO")),IF($E272="Da contattare","PRENDI APPUNTAMENTO","")))))))))))</f>
        <v/>
      </c>
      <c r="T272" s="17">
        <f>IF($S272="","",IFERROR(MATCH($S272,IMPOSTAZIONI!$F$5:$F$12,0),9)*100000000+(9999-MIN(9999,ROUND(N($O272)/100,0)))*10000+ROW())</f>
        <v/>
      </c>
    </row>
    <row r="273">
      <c r="A273" s="11" t="n"/>
      <c r="B273" s="12">
        <f>IF($S273="","",IFERROR(MATCH($S273,IMPOSTAZIONI!$F$5:$F$12,0),9)&amp;" · "&amp;$S273)</f>
        <v/>
      </c>
      <c r="C273" s="13" t="n"/>
      <c r="D273" s="14" t="n"/>
      <c r="E273" s="11" t="n"/>
      <c r="F273" s="15">
        <f>IF($A273="","",IF(LEN(IF(AND($C273&lt;&gt;"",$C273=TODAY())," · oggi in centro","")&amp;IF(AND($C273&lt;&gt;"",$C273&gt;=TODAY(),N($D273)+1&gt;=IMPOSTAZIONI!$C$5)," · ultima del ciclo, proponi il mantenimento","")&amp;IF(AND($C273&lt;&gt;"",$C273&gt;=TODAY(),$I273&lt;&gt;"",$C273-$I273&lt;IMPOSTAZIONI!$C$6)," · rientro anticipato, meno di "&amp;IMPOSTAZIONI!$C$6&amp;" giorni","")&amp;IF(AND($C273&lt;&gt;"",$C273&gt;=TODAY(),$I273&lt;&gt;"",$C273-$I273&gt;IMPOSTAZIONI!$C$7)," · rientro oltre "&amp;IMPOSTAZIONI!$C$7&amp;" giorni",""))=0,"",MID(IF(AND($C273&lt;&gt;"",$C273=TODAY())," · oggi in centro","")&amp;IF(AND($C273&lt;&gt;"",$C273&gt;=TODAY(),N($D273)+1&gt;=IMPOSTAZIONI!$C$5)," · ultima del ciclo, proponi il mantenimento","")&amp;IF(AND($C273&lt;&gt;"",$C273&gt;=TODAY(),$I273&lt;&gt;"",$C273-$I273&lt;IMPOSTAZIONI!$C$6)," · rientro anticipato, meno di "&amp;IMPOSTAZIONI!$C$6&amp;" giorni","")&amp;IF(AND($C273&lt;&gt;"",$C273&gt;=TODAY(),$I273&lt;&gt;"",$C273-$I273&gt;IMPOSTAZIONI!$C$7)," · rientro oltre "&amp;IMPOSTAZIONI!$C$7&amp;" giorni",""),4,300)))</f>
        <v/>
      </c>
      <c r="G273" s="16" t="n"/>
      <c r="H273" s="11" t="n"/>
      <c r="I273" s="13" t="n"/>
      <c r="J273" s="17">
        <f>IF($I273="","",TODAY()-$I273)</f>
        <v/>
      </c>
      <c r="K273" s="17">
        <f>IF($C273="","",$C273-TODAY())</f>
        <v/>
      </c>
      <c r="L273" s="15">
        <f>IF($A273="","",N($D273)&amp;"/"&amp;IMPOSTAZIONI!$C$5)</f>
        <v/>
      </c>
      <c r="M273" s="15">
        <f>IF($S273="","",IF($S273="RECUPERA CON INCENTIVO",INCENTIVI!$C$7,IF($S273="RICHIAMO MANTENIMENTO",INCENTIVI!$C$6,IF(OR($S273="FUORI FINESTRA",$S273="ULTIMA SEDUTA"),INCENTIVI!$C$5,""))))</f>
        <v/>
      </c>
      <c r="N273" s="18" t="n"/>
      <c r="O273" s="19">
        <f>IF($A273="","",N($D273)*N($N273))</f>
        <v/>
      </c>
      <c r="P273" s="19">
        <f>IF($A273="","",MAX(0,(IMPOSTAZIONI!$C$5-N($D273))*N($N273)))</f>
        <v/>
      </c>
      <c r="Q273" s="13" t="n"/>
      <c r="R273" s="11" t="n"/>
      <c r="S273" s="15">
        <f>IF($A273="","",IF(AND($C273&lt;&gt;"",$C273&lt;TODAY(),OR($I273="",$I273&lt;$C273)),"APPUNTAMENTO SALTATO",IF(AND($C273&lt;&gt;"",$C273-TODAY()=1),"CONFERMA DOMANI",IF(AND($C273&lt;&gt;"",$C273-TODAY()=IMPOSTAZIONI!$C$8),"CHIAMA PER CONFERMA",IF(AND($C273&lt;&gt;"",$C273&gt;=TODAY()),"",IF($E273="Sospesa","",IF($E273="Persa","RECUPERA CON INCENTIVO",IF(AND($I273&lt;&gt;"",TODAY()&gt;=EDATE($I273,IMPOSTAZIONI!$C$10)),"RECUPERA CON INCENTIVO",IF($E273="Mantenimento",IF(AND($I273&lt;&gt;"",TODAY()-$I273&gt;=IMPOSTAZIONI!$C$9),"RICHIAMO MANTENIMENTO",""),IF($E273="In ciclo",IF(N($D273)&gt;=IMPOSTAZIONI!$C$5,"ULTIMA SEDUTA",IF(AND($I273&lt;&gt;"",TODAY()-$I273&gt;IMPOSTAZIONI!$C$7),"FUORI FINESTRA","PRENDI APPUNTAMENTO")),IF($E273="Da contattare","PRENDI APPUNTAMENTO","")))))))))))</f>
        <v/>
      </c>
      <c r="T273" s="17">
        <f>IF($S273="","",IFERROR(MATCH($S273,IMPOSTAZIONI!$F$5:$F$12,0),9)*100000000+(9999-MIN(9999,ROUND(N($O273)/100,0)))*10000+ROW())</f>
        <v/>
      </c>
    </row>
    <row r="274">
      <c r="A274" s="11" t="n"/>
      <c r="B274" s="12">
        <f>IF($S274="","",IFERROR(MATCH($S274,IMPOSTAZIONI!$F$5:$F$12,0),9)&amp;" · "&amp;$S274)</f>
        <v/>
      </c>
      <c r="C274" s="13" t="n"/>
      <c r="D274" s="14" t="n"/>
      <c r="E274" s="11" t="n"/>
      <c r="F274" s="15">
        <f>IF($A274="","",IF(LEN(IF(AND($C274&lt;&gt;"",$C274=TODAY())," · oggi in centro","")&amp;IF(AND($C274&lt;&gt;"",$C274&gt;=TODAY(),N($D274)+1&gt;=IMPOSTAZIONI!$C$5)," · ultima del ciclo, proponi il mantenimento","")&amp;IF(AND($C274&lt;&gt;"",$C274&gt;=TODAY(),$I274&lt;&gt;"",$C274-$I274&lt;IMPOSTAZIONI!$C$6)," · rientro anticipato, meno di "&amp;IMPOSTAZIONI!$C$6&amp;" giorni","")&amp;IF(AND($C274&lt;&gt;"",$C274&gt;=TODAY(),$I274&lt;&gt;"",$C274-$I274&gt;IMPOSTAZIONI!$C$7)," · rientro oltre "&amp;IMPOSTAZIONI!$C$7&amp;" giorni",""))=0,"",MID(IF(AND($C274&lt;&gt;"",$C274=TODAY())," · oggi in centro","")&amp;IF(AND($C274&lt;&gt;"",$C274&gt;=TODAY(),N($D274)+1&gt;=IMPOSTAZIONI!$C$5)," · ultima del ciclo, proponi il mantenimento","")&amp;IF(AND($C274&lt;&gt;"",$C274&gt;=TODAY(),$I274&lt;&gt;"",$C274-$I274&lt;IMPOSTAZIONI!$C$6)," · rientro anticipato, meno di "&amp;IMPOSTAZIONI!$C$6&amp;" giorni","")&amp;IF(AND($C274&lt;&gt;"",$C274&gt;=TODAY(),$I274&lt;&gt;"",$C274-$I274&gt;IMPOSTAZIONI!$C$7)," · rientro oltre "&amp;IMPOSTAZIONI!$C$7&amp;" giorni",""),4,300)))</f>
        <v/>
      </c>
      <c r="G274" s="16" t="n"/>
      <c r="H274" s="11" t="n"/>
      <c r="I274" s="13" t="n"/>
      <c r="J274" s="17">
        <f>IF($I274="","",TODAY()-$I274)</f>
        <v/>
      </c>
      <c r="K274" s="17">
        <f>IF($C274="","",$C274-TODAY())</f>
        <v/>
      </c>
      <c r="L274" s="15">
        <f>IF($A274="","",N($D274)&amp;"/"&amp;IMPOSTAZIONI!$C$5)</f>
        <v/>
      </c>
      <c r="M274" s="15">
        <f>IF($S274="","",IF($S274="RECUPERA CON INCENTIVO",INCENTIVI!$C$7,IF($S274="RICHIAMO MANTENIMENTO",INCENTIVI!$C$6,IF(OR($S274="FUORI FINESTRA",$S274="ULTIMA SEDUTA"),INCENTIVI!$C$5,""))))</f>
        <v/>
      </c>
      <c r="N274" s="18" t="n"/>
      <c r="O274" s="19">
        <f>IF($A274="","",N($D274)*N($N274))</f>
        <v/>
      </c>
      <c r="P274" s="19">
        <f>IF($A274="","",MAX(0,(IMPOSTAZIONI!$C$5-N($D274))*N($N274)))</f>
        <v/>
      </c>
      <c r="Q274" s="13" t="n"/>
      <c r="R274" s="11" t="n"/>
      <c r="S274" s="15">
        <f>IF($A274="","",IF(AND($C274&lt;&gt;"",$C274&lt;TODAY(),OR($I274="",$I274&lt;$C274)),"APPUNTAMENTO SALTATO",IF(AND($C274&lt;&gt;"",$C274-TODAY()=1),"CONFERMA DOMANI",IF(AND($C274&lt;&gt;"",$C274-TODAY()=IMPOSTAZIONI!$C$8),"CHIAMA PER CONFERMA",IF(AND($C274&lt;&gt;"",$C274&gt;=TODAY()),"",IF($E274="Sospesa","",IF($E274="Persa","RECUPERA CON INCENTIVO",IF(AND($I274&lt;&gt;"",TODAY()&gt;=EDATE($I274,IMPOSTAZIONI!$C$10)),"RECUPERA CON INCENTIVO",IF($E274="Mantenimento",IF(AND($I274&lt;&gt;"",TODAY()-$I274&gt;=IMPOSTAZIONI!$C$9),"RICHIAMO MANTENIMENTO",""),IF($E274="In ciclo",IF(N($D274)&gt;=IMPOSTAZIONI!$C$5,"ULTIMA SEDUTA",IF(AND($I274&lt;&gt;"",TODAY()-$I274&gt;IMPOSTAZIONI!$C$7),"FUORI FINESTRA","PRENDI APPUNTAMENTO")),IF($E274="Da contattare","PRENDI APPUNTAMENTO","")))))))))))</f>
        <v/>
      </c>
      <c r="T274" s="17">
        <f>IF($S274="","",IFERROR(MATCH($S274,IMPOSTAZIONI!$F$5:$F$12,0),9)*100000000+(9999-MIN(9999,ROUND(N($O274)/100,0)))*10000+ROW())</f>
        <v/>
      </c>
    </row>
    <row r="275">
      <c r="A275" s="11" t="n"/>
      <c r="B275" s="12">
        <f>IF($S275="","",IFERROR(MATCH($S275,IMPOSTAZIONI!$F$5:$F$12,0),9)&amp;" · "&amp;$S275)</f>
        <v/>
      </c>
      <c r="C275" s="13" t="n"/>
      <c r="D275" s="14" t="n"/>
      <c r="E275" s="11" t="n"/>
      <c r="F275" s="15">
        <f>IF($A275="","",IF(LEN(IF(AND($C275&lt;&gt;"",$C275=TODAY())," · oggi in centro","")&amp;IF(AND($C275&lt;&gt;"",$C275&gt;=TODAY(),N($D275)+1&gt;=IMPOSTAZIONI!$C$5)," · ultima del ciclo, proponi il mantenimento","")&amp;IF(AND($C275&lt;&gt;"",$C275&gt;=TODAY(),$I275&lt;&gt;"",$C275-$I275&lt;IMPOSTAZIONI!$C$6)," · rientro anticipato, meno di "&amp;IMPOSTAZIONI!$C$6&amp;" giorni","")&amp;IF(AND($C275&lt;&gt;"",$C275&gt;=TODAY(),$I275&lt;&gt;"",$C275-$I275&gt;IMPOSTAZIONI!$C$7)," · rientro oltre "&amp;IMPOSTAZIONI!$C$7&amp;" giorni",""))=0,"",MID(IF(AND($C275&lt;&gt;"",$C275=TODAY())," · oggi in centro","")&amp;IF(AND($C275&lt;&gt;"",$C275&gt;=TODAY(),N($D275)+1&gt;=IMPOSTAZIONI!$C$5)," · ultima del ciclo, proponi il mantenimento","")&amp;IF(AND($C275&lt;&gt;"",$C275&gt;=TODAY(),$I275&lt;&gt;"",$C275-$I275&lt;IMPOSTAZIONI!$C$6)," · rientro anticipato, meno di "&amp;IMPOSTAZIONI!$C$6&amp;" giorni","")&amp;IF(AND($C275&lt;&gt;"",$C275&gt;=TODAY(),$I275&lt;&gt;"",$C275-$I275&gt;IMPOSTAZIONI!$C$7)," · rientro oltre "&amp;IMPOSTAZIONI!$C$7&amp;" giorni",""),4,300)))</f>
        <v/>
      </c>
      <c r="G275" s="16" t="n"/>
      <c r="H275" s="11" t="n"/>
      <c r="I275" s="13" t="n"/>
      <c r="J275" s="17">
        <f>IF($I275="","",TODAY()-$I275)</f>
        <v/>
      </c>
      <c r="K275" s="17">
        <f>IF($C275="","",$C275-TODAY())</f>
        <v/>
      </c>
      <c r="L275" s="15">
        <f>IF($A275="","",N($D275)&amp;"/"&amp;IMPOSTAZIONI!$C$5)</f>
        <v/>
      </c>
      <c r="M275" s="15">
        <f>IF($S275="","",IF($S275="RECUPERA CON INCENTIVO",INCENTIVI!$C$7,IF($S275="RICHIAMO MANTENIMENTO",INCENTIVI!$C$6,IF(OR($S275="FUORI FINESTRA",$S275="ULTIMA SEDUTA"),INCENTIVI!$C$5,""))))</f>
        <v/>
      </c>
      <c r="N275" s="18" t="n"/>
      <c r="O275" s="19">
        <f>IF($A275="","",N($D275)*N($N275))</f>
        <v/>
      </c>
      <c r="P275" s="19">
        <f>IF($A275="","",MAX(0,(IMPOSTAZIONI!$C$5-N($D275))*N($N275)))</f>
        <v/>
      </c>
      <c r="Q275" s="13" t="n"/>
      <c r="R275" s="11" t="n"/>
      <c r="S275" s="15">
        <f>IF($A275="","",IF(AND($C275&lt;&gt;"",$C275&lt;TODAY(),OR($I275="",$I275&lt;$C275)),"APPUNTAMENTO SALTATO",IF(AND($C275&lt;&gt;"",$C275-TODAY()=1),"CONFERMA DOMANI",IF(AND($C275&lt;&gt;"",$C275-TODAY()=IMPOSTAZIONI!$C$8),"CHIAMA PER CONFERMA",IF(AND($C275&lt;&gt;"",$C275&gt;=TODAY()),"",IF($E275="Sospesa","",IF($E275="Persa","RECUPERA CON INCENTIVO",IF(AND($I275&lt;&gt;"",TODAY()&gt;=EDATE($I275,IMPOSTAZIONI!$C$10)),"RECUPERA CON INCENTIVO",IF($E275="Mantenimento",IF(AND($I275&lt;&gt;"",TODAY()-$I275&gt;=IMPOSTAZIONI!$C$9),"RICHIAMO MANTENIMENTO",""),IF($E275="In ciclo",IF(N($D275)&gt;=IMPOSTAZIONI!$C$5,"ULTIMA SEDUTA",IF(AND($I275&lt;&gt;"",TODAY()-$I275&gt;IMPOSTAZIONI!$C$7),"FUORI FINESTRA","PRENDI APPUNTAMENTO")),IF($E275="Da contattare","PRENDI APPUNTAMENTO","")))))))))))</f>
        <v/>
      </c>
      <c r="T275" s="17">
        <f>IF($S275="","",IFERROR(MATCH($S275,IMPOSTAZIONI!$F$5:$F$12,0),9)*100000000+(9999-MIN(9999,ROUND(N($O275)/100,0)))*10000+ROW())</f>
        <v/>
      </c>
    </row>
    <row r="276">
      <c r="A276" s="11" t="n"/>
      <c r="B276" s="12">
        <f>IF($S276="","",IFERROR(MATCH($S276,IMPOSTAZIONI!$F$5:$F$12,0),9)&amp;" · "&amp;$S276)</f>
        <v/>
      </c>
      <c r="C276" s="13" t="n"/>
      <c r="D276" s="14" t="n"/>
      <c r="E276" s="11" t="n"/>
      <c r="F276" s="15">
        <f>IF($A276="","",IF(LEN(IF(AND($C276&lt;&gt;"",$C276=TODAY())," · oggi in centro","")&amp;IF(AND($C276&lt;&gt;"",$C276&gt;=TODAY(),N($D276)+1&gt;=IMPOSTAZIONI!$C$5)," · ultima del ciclo, proponi il mantenimento","")&amp;IF(AND($C276&lt;&gt;"",$C276&gt;=TODAY(),$I276&lt;&gt;"",$C276-$I276&lt;IMPOSTAZIONI!$C$6)," · rientro anticipato, meno di "&amp;IMPOSTAZIONI!$C$6&amp;" giorni","")&amp;IF(AND($C276&lt;&gt;"",$C276&gt;=TODAY(),$I276&lt;&gt;"",$C276-$I276&gt;IMPOSTAZIONI!$C$7)," · rientro oltre "&amp;IMPOSTAZIONI!$C$7&amp;" giorni",""))=0,"",MID(IF(AND($C276&lt;&gt;"",$C276=TODAY())," · oggi in centro","")&amp;IF(AND($C276&lt;&gt;"",$C276&gt;=TODAY(),N($D276)+1&gt;=IMPOSTAZIONI!$C$5)," · ultima del ciclo, proponi il mantenimento","")&amp;IF(AND($C276&lt;&gt;"",$C276&gt;=TODAY(),$I276&lt;&gt;"",$C276-$I276&lt;IMPOSTAZIONI!$C$6)," · rientro anticipato, meno di "&amp;IMPOSTAZIONI!$C$6&amp;" giorni","")&amp;IF(AND($C276&lt;&gt;"",$C276&gt;=TODAY(),$I276&lt;&gt;"",$C276-$I276&gt;IMPOSTAZIONI!$C$7)," · rientro oltre "&amp;IMPOSTAZIONI!$C$7&amp;" giorni",""),4,300)))</f>
        <v/>
      </c>
      <c r="G276" s="16" t="n"/>
      <c r="H276" s="11" t="n"/>
      <c r="I276" s="13" t="n"/>
      <c r="J276" s="17">
        <f>IF($I276="","",TODAY()-$I276)</f>
        <v/>
      </c>
      <c r="K276" s="17">
        <f>IF($C276="","",$C276-TODAY())</f>
        <v/>
      </c>
      <c r="L276" s="15">
        <f>IF($A276="","",N($D276)&amp;"/"&amp;IMPOSTAZIONI!$C$5)</f>
        <v/>
      </c>
      <c r="M276" s="15">
        <f>IF($S276="","",IF($S276="RECUPERA CON INCENTIVO",INCENTIVI!$C$7,IF($S276="RICHIAMO MANTENIMENTO",INCENTIVI!$C$6,IF(OR($S276="FUORI FINESTRA",$S276="ULTIMA SEDUTA"),INCENTIVI!$C$5,""))))</f>
        <v/>
      </c>
      <c r="N276" s="18" t="n"/>
      <c r="O276" s="19">
        <f>IF($A276="","",N($D276)*N($N276))</f>
        <v/>
      </c>
      <c r="P276" s="19">
        <f>IF($A276="","",MAX(0,(IMPOSTAZIONI!$C$5-N($D276))*N($N276)))</f>
        <v/>
      </c>
      <c r="Q276" s="13" t="n"/>
      <c r="R276" s="11" t="n"/>
      <c r="S276" s="15">
        <f>IF($A276="","",IF(AND($C276&lt;&gt;"",$C276&lt;TODAY(),OR($I276="",$I276&lt;$C276)),"APPUNTAMENTO SALTATO",IF(AND($C276&lt;&gt;"",$C276-TODAY()=1),"CONFERMA DOMANI",IF(AND($C276&lt;&gt;"",$C276-TODAY()=IMPOSTAZIONI!$C$8),"CHIAMA PER CONFERMA",IF(AND($C276&lt;&gt;"",$C276&gt;=TODAY()),"",IF($E276="Sospesa","",IF($E276="Persa","RECUPERA CON INCENTIVO",IF(AND($I276&lt;&gt;"",TODAY()&gt;=EDATE($I276,IMPOSTAZIONI!$C$10)),"RECUPERA CON INCENTIVO",IF($E276="Mantenimento",IF(AND($I276&lt;&gt;"",TODAY()-$I276&gt;=IMPOSTAZIONI!$C$9),"RICHIAMO MANTENIMENTO",""),IF($E276="In ciclo",IF(N($D276)&gt;=IMPOSTAZIONI!$C$5,"ULTIMA SEDUTA",IF(AND($I276&lt;&gt;"",TODAY()-$I276&gt;IMPOSTAZIONI!$C$7),"FUORI FINESTRA","PRENDI APPUNTAMENTO")),IF($E276="Da contattare","PRENDI APPUNTAMENTO","")))))))))))</f>
        <v/>
      </c>
      <c r="T276" s="17">
        <f>IF($S276="","",IFERROR(MATCH($S276,IMPOSTAZIONI!$F$5:$F$12,0),9)*100000000+(9999-MIN(9999,ROUND(N($O276)/100,0)))*10000+ROW())</f>
        <v/>
      </c>
    </row>
    <row r="277">
      <c r="A277" s="11" t="n"/>
      <c r="B277" s="12">
        <f>IF($S277="","",IFERROR(MATCH($S277,IMPOSTAZIONI!$F$5:$F$12,0),9)&amp;" · "&amp;$S277)</f>
        <v/>
      </c>
      <c r="C277" s="13" t="n"/>
      <c r="D277" s="14" t="n"/>
      <c r="E277" s="11" t="n"/>
      <c r="F277" s="15">
        <f>IF($A277="","",IF(LEN(IF(AND($C277&lt;&gt;"",$C277=TODAY())," · oggi in centro","")&amp;IF(AND($C277&lt;&gt;"",$C277&gt;=TODAY(),N($D277)+1&gt;=IMPOSTAZIONI!$C$5)," · ultima del ciclo, proponi il mantenimento","")&amp;IF(AND($C277&lt;&gt;"",$C277&gt;=TODAY(),$I277&lt;&gt;"",$C277-$I277&lt;IMPOSTAZIONI!$C$6)," · rientro anticipato, meno di "&amp;IMPOSTAZIONI!$C$6&amp;" giorni","")&amp;IF(AND($C277&lt;&gt;"",$C277&gt;=TODAY(),$I277&lt;&gt;"",$C277-$I277&gt;IMPOSTAZIONI!$C$7)," · rientro oltre "&amp;IMPOSTAZIONI!$C$7&amp;" giorni",""))=0,"",MID(IF(AND($C277&lt;&gt;"",$C277=TODAY())," · oggi in centro","")&amp;IF(AND($C277&lt;&gt;"",$C277&gt;=TODAY(),N($D277)+1&gt;=IMPOSTAZIONI!$C$5)," · ultima del ciclo, proponi il mantenimento","")&amp;IF(AND($C277&lt;&gt;"",$C277&gt;=TODAY(),$I277&lt;&gt;"",$C277-$I277&lt;IMPOSTAZIONI!$C$6)," · rientro anticipato, meno di "&amp;IMPOSTAZIONI!$C$6&amp;" giorni","")&amp;IF(AND($C277&lt;&gt;"",$C277&gt;=TODAY(),$I277&lt;&gt;"",$C277-$I277&gt;IMPOSTAZIONI!$C$7)," · rientro oltre "&amp;IMPOSTAZIONI!$C$7&amp;" giorni",""),4,300)))</f>
        <v/>
      </c>
      <c r="G277" s="16" t="n"/>
      <c r="H277" s="11" t="n"/>
      <c r="I277" s="13" t="n"/>
      <c r="J277" s="17">
        <f>IF($I277="","",TODAY()-$I277)</f>
        <v/>
      </c>
      <c r="K277" s="17">
        <f>IF($C277="","",$C277-TODAY())</f>
        <v/>
      </c>
      <c r="L277" s="15">
        <f>IF($A277="","",N($D277)&amp;"/"&amp;IMPOSTAZIONI!$C$5)</f>
        <v/>
      </c>
      <c r="M277" s="15">
        <f>IF($S277="","",IF($S277="RECUPERA CON INCENTIVO",INCENTIVI!$C$7,IF($S277="RICHIAMO MANTENIMENTO",INCENTIVI!$C$6,IF(OR($S277="FUORI FINESTRA",$S277="ULTIMA SEDUTA"),INCENTIVI!$C$5,""))))</f>
        <v/>
      </c>
      <c r="N277" s="18" t="n"/>
      <c r="O277" s="19">
        <f>IF($A277="","",N($D277)*N($N277))</f>
        <v/>
      </c>
      <c r="P277" s="19">
        <f>IF($A277="","",MAX(0,(IMPOSTAZIONI!$C$5-N($D277))*N($N277)))</f>
        <v/>
      </c>
      <c r="Q277" s="13" t="n"/>
      <c r="R277" s="11" t="n"/>
      <c r="S277" s="15">
        <f>IF($A277="","",IF(AND($C277&lt;&gt;"",$C277&lt;TODAY(),OR($I277="",$I277&lt;$C277)),"APPUNTAMENTO SALTATO",IF(AND($C277&lt;&gt;"",$C277-TODAY()=1),"CONFERMA DOMANI",IF(AND($C277&lt;&gt;"",$C277-TODAY()=IMPOSTAZIONI!$C$8),"CHIAMA PER CONFERMA",IF(AND($C277&lt;&gt;"",$C277&gt;=TODAY()),"",IF($E277="Sospesa","",IF($E277="Persa","RECUPERA CON INCENTIVO",IF(AND($I277&lt;&gt;"",TODAY()&gt;=EDATE($I277,IMPOSTAZIONI!$C$10)),"RECUPERA CON INCENTIVO",IF($E277="Mantenimento",IF(AND($I277&lt;&gt;"",TODAY()-$I277&gt;=IMPOSTAZIONI!$C$9),"RICHIAMO MANTENIMENTO",""),IF($E277="In ciclo",IF(N($D277)&gt;=IMPOSTAZIONI!$C$5,"ULTIMA SEDUTA",IF(AND($I277&lt;&gt;"",TODAY()-$I277&gt;IMPOSTAZIONI!$C$7),"FUORI FINESTRA","PRENDI APPUNTAMENTO")),IF($E277="Da contattare","PRENDI APPUNTAMENTO","")))))))))))</f>
        <v/>
      </c>
      <c r="T277" s="17">
        <f>IF($S277="","",IFERROR(MATCH($S277,IMPOSTAZIONI!$F$5:$F$12,0),9)*100000000+(9999-MIN(9999,ROUND(N($O277)/100,0)))*10000+ROW())</f>
        <v/>
      </c>
    </row>
    <row r="278">
      <c r="A278" s="11" t="n"/>
      <c r="B278" s="12">
        <f>IF($S278="","",IFERROR(MATCH($S278,IMPOSTAZIONI!$F$5:$F$12,0),9)&amp;" · "&amp;$S278)</f>
        <v/>
      </c>
      <c r="C278" s="13" t="n"/>
      <c r="D278" s="14" t="n"/>
      <c r="E278" s="11" t="n"/>
      <c r="F278" s="15">
        <f>IF($A278="","",IF(LEN(IF(AND($C278&lt;&gt;"",$C278=TODAY())," · oggi in centro","")&amp;IF(AND($C278&lt;&gt;"",$C278&gt;=TODAY(),N($D278)+1&gt;=IMPOSTAZIONI!$C$5)," · ultima del ciclo, proponi il mantenimento","")&amp;IF(AND($C278&lt;&gt;"",$C278&gt;=TODAY(),$I278&lt;&gt;"",$C278-$I278&lt;IMPOSTAZIONI!$C$6)," · rientro anticipato, meno di "&amp;IMPOSTAZIONI!$C$6&amp;" giorni","")&amp;IF(AND($C278&lt;&gt;"",$C278&gt;=TODAY(),$I278&lt;&gt;"",$C278-$I278&gt;IMPOSTAZIONI!$C$7)," · rientro oltre "&amp;IMPOSTAZIONI!$C$7&amp;" giorni",""))=0,"",MID(IF(AND($C278&lt;&gt;"",$C278=TODAY())," · oggi in centro","")&amp;IF(AND($C278&lt;&gt;"",$C278&gt;=TODAY(),N($D278)+1&gt;=IMPOSTAZIONI!$C$5)," · ultima del ciclo, proponi il mantenimento","")&amp;IF(AND($C278&lt;&gt;"",$C278&gt;=TODAY(),$I278&lt;&gt;"",$C278-$I278&lt;IMPOSTAZIONI!$C$6)," · rientro anticipato, meno di "&amp;IMPOSTAZIONI!$C$6&amp;" giorni","")&amp;IF(AND($C278&lt;&gt;"",$C278&gt;=TODAY(),$I278&lt;&gt;"",$C278-$I278&gt;IMPOSTAZIONI!$C$7)," · rientro oltre "&amp;IMPOSTAZIONI!$C$7&amp;" giorni",""),4,300)))</f>
        <v/>
      </c>
      <c r="G278" s="16" t="n"/>
      <c r="H278" s="11" t="n"/>
      <c r="I278" s="13" t="n"/>
      <c r="J278" s="17">
        <f>IF($I278="","",TODAY()-$I278)</f>
        <v/>
      </c>
      <c r="K278" s="17">
        <f>IF($C278="","",$C278-TODAY())</f>
        <v/>
      </c>
      <c r="L278" s="15">
        <f>IF($A278="","",N($D278)&amp;"/"&amp;IMPOSTAZIONI!$C$5)</f>
        <v/>
      </c>
      <c r="M278" s="15">
        <f>IF($S278="","",IF($S278="RECUPERA CON INCENTIVO",INCENTIVI!$C$7,IF($S278="RICHIAMO MANTENIMENTO",INCENTIVI!$C$6,IF(OR($S278="FUORI FINESTRA",$S278="ULTIMA SEDUTA"),INCENTIVI!$C$5,""))))</f>
        <v/>
      </c>
      <c r="N278" s="18" t="n"/>
      <c r="O278" s="19">
        <f>IF($A278="","",N($D278)*N($N278))</f>
        <v/>
      </c>
      <c r="P278" s="19">
        <f>IF($A278="","",MAX(0,(IMPOSTAZIONI!$C$5-N($D278))*N($N278)))</f>
        <v/>
      </c>
      <c r="Q278" s="13" t="n"/>
      <c r="R278" s="11" t="n"/>
      <c r="S278" s="15">
        <f>IF($A278="","",IF(AND($C278&lt;&gt;"",$C278&lt;TODAY(),OR($I278="",$I278&lt;$C278)),"APPUNTAMENTO SALTATO",IF(AND($C278&lt;&gt;"",$C278-TODAY()=1),"CONFERMA DOMANI",IF(AND($C278&lt;&gt;"",$C278-TODAY()=IMPOSTAZIONI!$C$8),"CHIAMA PER CONFERMA",IF(AND($C278&lt;&gt;"",$C278&gt;=TODAY()),"",IF($E278="Sospesa","",IF($E278="Persa","RECUPERA CON INCENTIVO",IF(AND($I278&lt;&gt;"",TODAY()&gt;=EDATE($I278,IMPOSTAZIONI!$C$10)),"RECUPERA CON INCENTIVO",IF($E278="Mantenimento",IF(AND($I278&lt;&gt;"",TODAY()-$I278&gt;=IMPOSTAZIONI!$C$9),"RICHIAMO MANTENIMENTO",""),IF($E278="In ciclo",IF(N($D278)&gt;=IMPOSTAZIONI!$C$5,"ULTIMA SEDUTA",IF(AND($I278&lt;&gt;"",TODAY()-$I278&gt;IMPOSTAZIONI!$C$7),"FUORI FINESTRA","PRENDI APPUNTAMENTO")),IF($E278="Da contattare","PRENDI APPUNTAMENTO","")))))))))))</f>
        <v/>
      </c>
      <c r="T278" s="17">
        <f>IF($S278="","",IFERROR(MATCH($S278,IMPOSTAZIONI!$F$5:$F$12,0),9)*100000000+(9999-MIN(9999,ROUND(N($O278)/100,0)))*10000+ROW())</f>
        <v/>
      </c>
    </row>
    <row r="279">
      <c r="A279" s="11" t="n"/>
      <c r="B279" s="12">
        <f>IF($S279="","",IFERROR(MATCH($S279,IMPOSTAZIONI!$F$5:$F$12,0),9)&amp;" · "&amp;$S279)</f>
        <v/>
      </c>
      <c r="C279" s="13" t="n"/>
      <c r="D279" s="14" t="n"/>
      <c r="E279" s="11" t="n"/>
      <c r="F279" s="15">
        <f>IF($A279="","",IF(LEN(IF(AND($C279&lt;&gt;"",$C279=TODAY())," · oggi in centro","")&amp;IF(AND($C279&lt;&gt;"",$C279&gt;=TODAY(),N($D279)+1&gt;=IMPOSTAZIONI!$C$5)," · ultima del ciclo, proponi il mantenimento","")&amp;IF(AND($C279&lt;&gt;"",$C279&gt;=TODAY(),$I279&lt;&gt;"",$C279-$I279&lt;IMPOSTAZIONI!$C$6)," · rientro anticipato, meno di "&amp;IMPOSTAZIONI!$C$6&amp;" giorni","")&amp;IF(AND($C279&lt;&gt;"",$C279&gt;=TODAY(),$I279&lt;&gt;"",$C279-$I279&gt;IMPOSTAZIONI!$C$7)," · rientro oltre "&amp;IMPOSTAZIONI!$C$7&amp;" giorni",""))=0,"",MID(IF(AND($C279&lt;&gt;"",$C279=TODAY())," · oggi in centro","")&amp;IF(AND($C279&lt;&gt;"",$C279&gt;=TODAY(),N($D279)+1&gt;=IMPOSTAZIONI!$C$5)," · ultima del ciclo, proponi il mantenimento","")&amp;IF(AND($C279&lt;&gt;"",$C279&gt;=TODAY(),$I279&lt;&gt;"",$C279-$I279&lt;IMPOSTAZIONI!$C$6)," · rientro anticipato, meno di "&amp;IMPOSTAZIONI!$C$6&amp;" giorni","")&amp;IF(AND($C279&lt;&gt;"",$C279&gt;=TODAY(),$I279&lt;&gt;"",$C279-$I279&gt;IMPOSTAZIONI!$C$7)," · rientro oltre "&amp;IMPOSTAZIONI!$C$7&amp;" giorni",""),4,300)))</f>
        <v/>
      </c>
      <c r="G279" s="16" t="n"/>
      <c r="H279" s="11" t="n"/>
      <c r="I279" s="13" t="n"/>
      <c r="J279" s="17">
        <f>IF($I279="","",TODAY()-$I279)</f>
        <v/>
      </c>
      <c r="K279" s="17">
        <f>IF($C279="","",$C279-TODAY())</f>
        <v/>
      </c>
      <c r="L279" s="15">
        <f>IF($A279="","",N($D279)&amp;"/"&amp;IMPOSTAZIONI!$C$5)</f>
        <v/>
      </c>
      <c r="M279" s="15">
        <f>IF($S279="","",IF($S279="RECUPERA CON INCENTIVO",INCENTIVI!$C$7,IF($S279="RICHIAMO MANTENIMENTO",INCENTIVI!$C$6,IF(OR($S279="FUORI FINESTRA",$S279="ULTIMA SEDUTA"),INCENTIVI!$C$5,""))))</f>
        <v/>
      </c>
      <c r="N279" s="18" t="n"/>
      <c r="O279" s="19">
        <f>IF($A279="","",N($D279)*N($N279))</f>
        <v/>
      </c>
      <c r="P279" s="19">
        <f>IF($A279="","",MAX(0,(IMPOSTAZIONI!$C$5-N($D279))*N($N279)))</f>
        <v/>
      </c>
      <c r="Q279" s="13" t="n"/>
      <c r="R279" s="11" t="n"/>
      <c r="S279" s="15">
        <f>IF($A279="","",IF(AND($C279&lt;&gt;"",$C279&lt;TODAY(),OR($I279="",$I279&lt;$C279)),"APPUNTAMENTO SALTATO",IF(AND($C279&lt;&gt;"",$C279-TODAY()=1),"CONFERMA DOMANI",IF(AND($C279&lt;&gt;"",$C279-TODAY()=IMPOSTAZIONI!$C$8),"CHIAMA PER CONFERMA",IF(AND($C279&lt;&gt;"",$C279&gt;=TODAY()),"",IF($E279="Sospesa","",IF($E279="Persa","RECUPERA CON INCENTIVO",IF(AND($I279&lt;&gt;"",TODAY()&gt;=EDATE($I279,IMPOSTAZIONI!$C$10)),"RECUPERA CON INCENTIVO",IF($E279="Mantenimento",IF(AND($I279&lt;&gt;"",TODAY()-$I279&gt;=IMPOSTAZIONI!$C$9),"RICHIAMO MANTENIMENTO",""),IF($E279="In ciclo",IF(N($D279)&gt;=IMPOSTAZIONI!$C$5,"ULTIMA SEDUTA",IF(AND($I279&lt;&gt;"",TODAY()-$I279&gt;IMPOSTAZIONI!$C$7),"FUORI FINESTRA","PRENDI APPUNTAMENTO")),IF($E279="Da contattare","PRENDI APPUNTAMENTO","")))))))))))</f>
        <v/>
      </c>
      <c r="T279" s="17">
        <f>IF($S279="","",IFERROR(MATCH($S279,IMPOSTAZIONI!$F$5:$F$12,0),9)*100000000+(9999-MIN(9999,ROUND(N($O279)/100,0)))*10000+ROW())</f>
        <v/>
      </c>
    </row>
    <row r="280">
      <c r="A280" s="11" t="n"/>
      <c r="B280" s="12">
        <f>IF($S280="","",IFERROR(MATCH($S280,IMPOSTAZIONI!$F$5:$F$12,0),9)&amp;" · "&amp;$S280)</f>
        <v/>
      </c>
      <c r="C280" s="13" t="n"/>
      <c r="D280" s="14" t="n"/>
      <c r="E280" s="11" t="n"/>
      <c r="F280" s="15">
        <f>IF($A280="","",IF(LEN(IF(AND($C280&lt;&gt;"",$C280=TODAY())," · oggi in centro","")&amp;IF(AND($C280&lt;&gt;"",$C280&gt;=TODAY(),N($D280)+1&gt;=IMPOSTAZIONI!$C$5)," · ultima del ciclo, proponi il mantenimento","")&amp;IF(AND($C280&lt;&gt;"",$C280&gt;=TODAY(),$I280&lt;&gt;"",$C280-$I280&lt;IMPOSTAZIONI!$C$6)," · rientro anticipato, meno di "&amp;IMPOSTAZIONI!$C$6&amp;" giorni","")&amp;IF(AND($C280&lt;&gt;"",$C280&gt;=TODAY(),$I280&lt;&gt;"",$C280-$I280&gt;IMPOSTAZIONI!$C$7)," · rientro oltre "&amp;IMPOSTAZIONI!$C$7&amp;" giorni",""))=0,"",MID(IF(AND($C280&lt;&gt;"",$C280=TODAY())," · oggi in centro","")&amp;IF(AND($C280&lt;&gt;"",$C280&gt;=TODAY(),N($D280)+1&gt;=IMPOSTAZIONI!$C$5)," · ultima del ciclo, proponi il mantenimento","")&amp;IF(AND($C280&lt;&gt;"",$C280&gt;=TODAY(),$I280&lt;&gt;"",$C280-$I280&lt;IMPOSTAZIONI!$C$6)," · rientro anticipato, meno di "&amp;IMPOSTAZIONI!$C$6&amp;" giorni","")&amp;IF(AND($C280&lt;&gt;"",$C280&gt;=TODAY(),$I280&lt;&gt;"",$C280-$I280&gt;IMPOSTAZIONI!$C$7)," · rientro oltre "&amp;IMPOSTAZIONI!$C$7&amp;" giorni",""),4,300)))</f>
        <v/>
      </c>
      <c r="G280" s="16" t="n"/>
      <c r="H280" s="11" t="n"/>
      <c r="I280" s="13" t="n"/>
      <c r="J280" s="17">
        <f>IF($I280="","",TODAY()-$I280)</f>
        <v/>
      </c>
      <c r="K280" s="17">
        <f>IF($C280="","",$C280-TODAY())</f>
        <v/>
      </c>
      <c r="L280" s="15">
        <f>IF($A280="","",N($D280)&amp;"/"&amp;IMPOSTAZIONI!$C$5)</f>
        <v/>
      </c>
      <c r="M280" s="15">
        <f>IF($S280="","",IF($S280="RECUPERA CON INCENTIVO",INCENTIVI!$C$7,IF($S280="RICHIAMO MANTENIMENTO",INCENTIVI!$C$6,IF(OR($S280="FUORI FINESTRA",$S280="ULTIMA SEDUTA"),INCENTIVI!$C$5,""))))</f>
        <v/>
      </c>
      <c r="N280" s="18" t="n"/>
      <c r="O280" s="19">
        <f>IF($A280="","",N($D280)*N($N280))</f>
        <v/>
      </c>
      <c r="P280" s="19">
        <f>IF($A280="","",MAX(0,(IMPOSTAZIONI!$C$5-N($D280))*N($N280)))</f>
        <v/>
      </c>
      <c r="Q280" s="13" t="n"/>
      <c r="R280" s="11" t="n"/>
      <c r="S280" s="15">
        <f>IF($A280="","",IF(AND($C280&lt;&gt;"",$C280&lt;TODAY(),OR($I280="",$I280&lt;$C280)),"APPUNTAMENTO SALTATO",IF(AND($C280&lt;&gt;"",$C280-TODAY()=1),"CONFERMA DOMANI",IF(AND($C280&lt;&gt;"",$C280-TODAY()=IMPOSTAZIONI!$C$8),"CHIAMA PER CONFERMA",IF(AND($C280&lt;&gt;"",$C280&gt;=TODAY()),"",IF($E280="Sospesa","",IF($E280="Persa","RECUPERA CON INCENTIVO",IF(AND($I280&lt;&gt;"",TODAY()&gt;=EDATE($I280,IMPOSTAZIONI!$C$10)),"RECUPERA CON INCENTIVO",IF($E280="Mantenimento",IF(AND($I280&lt;&gt;"",TODAY()-$I280&gt;=IMPOSTAZIONI!$C$9),"RICHIAMO MANTENIMENTO",""),IF($E280="In ciclo",IF(N($D280)&gt;=IMPOSTAZIONI!$C$5,"ULTIMA SEDUTA",IF(AND($I280&lt;&gt;"",TODAY()-$I280&gt;IMPOSTAZIONI!$C$7),"FUORI FINESTRA","PRENDI APPUNTAMENTO")),IF($E280="Da contattare","PRENDI APPUNTAMENTO","")))))))))))</f>
        <v/>
      </c>
      <c r="T280" s="17">
        <f>IF($S280="","",IFERROR(MATCH($S280,IMPOSTAZIONI!$F$5:$F$12,0),9)*100000000+(9999-MIN(9999,ROUND(N($O280)/100,0)))*10000+ROW())</f>
        <v/>
      </c>
    </row>
    <row r="281">
      <c r="A281" s="11" t="n"/>
      <c r="B281" s="12">
        <f>IF($S281="","",IFERROR(MATCH($S281,IMPOSTAZIONI!$F$5:$F$12,0),9)&amp;" · "&amp;$S281)</f>
        <v/>
      </c>
      <c r="C281" s="13" t="n"/>
      <c r="D281" s="14" t="n"/>
      <c r="E281" s="11" t="n"/>
      <c r="F281" s="15">
        <f>IF($A281="","",IF(LEN(IF(AND($C281&lt;&gt;"",$C281=TODAY())," · oggi in centro","")&amp;IF(AND($C281&lt;&gt;"",$C281&gt;=TODAY(),N($D281)+1&gt;=IMPOSTAZIONI!$C$5)," · ultima del ciclo, proponi il mantenimento","")&amp;IF(AND($C281&lt;&gt;"",$C281&gt;=TODAY(),$I281&lt;&gt;"",$C281-$I281&lt;IMPOSTAZIONI!$C$6)," · rientro anticipato, meno di "&amp;IMPOSTAZIONI!$C$6&amp;" giorni","")&amp;IF(AND($C281&lt;&gt;"",$C281&gt;=TODAY(),$I281&lt;&gt;"",$C281-$I281&gt;IMPOSTAZIONI!$C$7)," · rientro oltre "&amp;IMPOSTAZIONI!$C$7&amp;" giorni",""))=0,"",MID(IF(AND($C281&lt;&gt;"",$C281=TODAY())," · oggi in centro","")&amp;IF(AND($C281&lt;&gt;"",$C281&gt;=TODAY(),N($D281)+1&gt;=IMPOSTAZIONI!$C$5)," · ultima del ciclo, proponi il mantenimento","")&amp;IF(AND($C281&lt;&gt;"",$C281&gt;=TODAY(),$I281&lt;&gt;"",$C281-$I281&lt;IMPOSTAZIONI!$C$6)," · rientro anticipato, meno di "&amp;IMPOSTAZIONI!$C$6&amp;" giorni","")&amp;IF(AND($C281&lt;&gt;"",$C281&gt;=TODAY(),$I281&lt;&gt;"",$C281-$I281&gt;IMPOSTAZIONI!$C$7)," · rientro oltre "&amp;IMPOSTAZIONI!$C$7&amp;" giorni",""),4,300)))</f>
        <v/>
      </c>
      <c r="G281" s="16" t="n"/>
      <c r="H281" s="11" t="n"/>
      <c r="I281" s="13" t="n"/>
      <c r="J281" s="17">
        <f>IF($I281="","",TODAY()-$I281)</f>
        <v/>
      </c>
      <c r="K281" s="17">
        <f>IF($C281="","",$C281-TODAY())</f>
        <v/>
      </c>
      <c r="L281" s="15">
        <f>IF($A281="","",N($D281)&amp;"/"&amp;IMPOSTAZIONI!$C$5)</f>
        <v/>
      </c>
      <c r="M281" s="15">
        <f>IF($S281="","",IF($S281="RECUPERA CON INCENTIVO",INCENTIVI!$C$7,IF($S281="RICHIAMO MANTENIMENTO",INCENTIVI!$C$6,IF(OR($S281="FUORI FINESTRA",$S281="ULTIMA SEDUTA"),INCENTIVI!$C$5,""))))</f>
        <v/>
      </c>
      <c r="N281" s="18" t="n"/>
      <c r="O281" s="19">
        <f>IF($A281="","",N($D281)*N($N281))</f>
        <v/>
      </c>
      <c r="P281" s="19">
        <f>IF($A281="","",MAX(0,(IMPOSTAZIONI!$C$5-N($D281))*N($N281)))</f>
        <v/>
      </c>
      <c r="Q281" s="13" t="n"/>
      <c r="R281" s="11" t="n"/>
      <c r="S281" s="15">
        <f>IF($A281="","",IF(AND($C281&lt;&gt;"",$C281&lt;TODAY(),OR($I281="",$I281&lt;$C281)),"APPUNTAMENTO SALTATO",IF(AND($C281&lt;&gt;"",$C281-TODAY()=1),"CONFERMA DOMANI",IF(AND($C281&lt;&gt;"",$C281-TODAY()=IMPOSTAZIONI!$C$8),"CHIAMA PER CONFERMA",IF(AND($C281&lt;&gt;"",$C281&gt;=TODAY()),"",IF($E281="Sospesa","",IF($E281="Persa","RECUPERA CON INCENTIVO",IF(AND($I281&lt;&gt;"",TODAY()&gt;=EDATE($I281,IMPOSTAZIONI!$C$10)),"RECUPERA CON INCENTIVO",IF($E281="Mantenimento",IF(AND($I281&lt;&gt;"",TODAY()-$I281&gt;=IMPOSTAZIONI!$C$9),"RICHIAMO MANTENIMENTO",""),IF($E281="In ciclo",IF(N($D281)&gt;=IMPOSTAZIONI!$C$5,"ULTIMA SEDUTA",IF(AND($I281&lt;&gt;"",TODAY()-$I281&gt;IMPOSTAZIONI!$C$7),"FUORI FINESTRA","PRENDI APPUNTAMENTO")),IF($E281="Da contattare","PRENDI APPUNTAMENTO","")))))))))))</f>
        <v/>
      </c>
      <c r="T281" s="17">
        <f>IF($S281="","",IFERROR(MATCH($S281,IMPOSTAZIONI!$F$5:$F$12,0),9)*100000000+(9999-MIN(9999,ROUND(N($O281)/100,0)))*10000+ROW())</f>
        <v/>
      </c>
    </row>
    <row r="282">
      <c r="A282" s="11" t="n"/>
      <c r="B282" s="12">
        <f>IF($S282="","",IFERROR(MATCH($S282,IMPOSTAZIONI!$F$5:$F$12,0),9)&amp;" · "&amp;$S282)</f>
        <v/>
      </c>
      <c r="C282" s="13" t="n"/>
      <c r="D282" s="14" t="n"/>
      <c r="E282" s="11" t="n"/>
      <c r="F282" s="15">
        <f>IF($A282="","",IF(LEN(IF(AND($C282&lt;&gt;"",$C282=TODAY())," · oggi in centro","")&amp;IF(AND($C282&lt;&gt;"",$C282&gt;=TODAY(),N($D282)+1&gt;=IMPOSTAZIONI!$C$5)," · ultima del ciclo, proponi il mantenimento","")&amp;IF(AND($C282&lt;&gt;"",$C282&gt;=TODAY(),$I282&lt;&gt;"",$C282-$I282&lt;IMPOSTAZIONI!$C$6)," · rientro anticipato, meno di "&amp;IMPOSTAZIONI!$C$6&amp;" giorni","")&amp;IF(AND($C282&lt;&gt;"",$C282&gt;=TODAY(),$I282&lt;&gt;"",$C282-$I282&gt;IMPOSTAZIONI!$C$7)," · rientro oltre "&amp;IMPOSTAZIONI!$C$7&amp;" giorni",""))=0,"",MID(IF(AND($C282&lt;&gt;"",$C282=TODAY())," · oggi in centro","")&amp;IF(AND($C282&lt;&gt;"",$C282&gt;=TODAY(),N($D282)+1&gt;=IMPOSTAZIONI!$C$5)," · ultima del ciclo, proponi il mantenimento","")&amp;IF(AND($C282&lt;&gt;"",$C282&gt;=TODAY(),$I282&lt;&gt;"",$C282-$I282&lt;IMPOSTAZIONI!$C$6)," · rientro anticipato, meno di "&amp;IMPOSTAZIONI!$C$6&amp;" giorni","")&amp;IF(AND($C282&lt;&gt;"",$C282&gt;=TODAY(),$I282&lt;&gt;"",$C282-$I282&gt;IMPOSTAZIONI!$C$7)," · rientro oltre "&amp;IMPOSTAZIONI!$C$7&amp;" giorni",""),4,300)))</f>
        <v/>
      </c>
      <c r="G282" s="16" t="n"/>
      <c r="H282" s="11" t="n"/>
      <c r="I282" s="13" t="n"/>
      <c r="J282" s="17">
        <f>IF($I282="","",TODAY()-$I282)</f>
        <v/>
      </c>
      <c r="K282" s="17">
        <f>IF($C282="","",$C282-TODAY())</f>
        <v/>
      </c>
      <c r="L282" s="15">
        <f>IF($A282="","",N($D282)&amp;"/"&amp;IMPOSTAZIONI!$C$5)</f>
        <v/>
      </c>
      <c r="M282" s="15">
        <f>IF($S282="","",IF($S282="RECUPERA CON INCENTIVO",INCENTIVI!$C$7,IF($S282="RICHIAMO MANTENIMENTO",INCENTIVI!$C$6,IF(OR($S282="FUORI FINESTRA",$S282="ULTIMA SEDUTA"),INCENTIVI!$C$5,""))))</f>
        <v/>
      </c>
      <c r="N282" s="18" t="n"/>
      <c r="O282" s="19">
        <f>IF($A282="","",N($D282)*N($N282))</f>
        <v/>
      </c>
      <c r="P282" s="19">
        <f>IF($A282="","",MAX(0,(IMPOSTAZIONI!$C$5-N($D282))*N($N282)))</f>
        <v/>
      </c>
      <c r="Q282" s="13" t="n"/>
      <c r="R282" s="11" t="n"/>
      <c r="S282" s="15">
        <f>IF($A282="","",IF(AND($C282&lt;&gt;"",$C282&lt;TODAY(),OR($I282="",$I282&lt;$C282)),"APPUNTAMENTO SALTATO",IF(AND($C282&lt;&gt;"",$C282-TODAY()=1),"CONFERMA DOMANI",IF(AND($C282&lt;&gt;"",$C282-TODAY()=IMPOSTAZIONI!$C$8),"CHIAMA PER CONFERMA",IF(AND($C282&lt;&gt;"",$C282&gt;=TODAY()),"",IF($E282="Sospesa","",IF($E282="Persa","RECUPERA CON INCENTIVO",IF(AND($I282&lt;&gt;"",TODAY()&gt;=EDATE($I282,IMPOSTAZIONI!$C$10)),"RECUPERA CON INCENTIVO",IF($E282="Mantenimento",IF(AND($I282&lt;&gt;"",TODAY()-$I282&gt;=IMPOSTAZIONI!$C$9),"RICHIAMO MANTENIMENTO",""),IF($E282="In ciclo",IF(N($D282)&gt;=IMPOSTAZIONI!$C$5,"ULTIMA SEDUTA",IF(AND($I282&lt;&gt;"",TODAY()-$I282&gt;IMPOSTAZIONI!$C$7),"FUORI FINESTRA","PRENDI APPUNTAMENTO")),IF($E282="Da contattare","PRENDI APPUNTAMENTO","")))))))))))</f>
        <v/>
      </c>
      <c r="T282" s="17">
        <f>IF($S282="","",IFERROR(MATCH($S282,IMPOSTAZIONI!$F$5:$F$12,0),9)*100000000+(9999-MIN(9999,ROUND(N($O282)/100,0)))*10000+ROW())</f>
        <v/>
      </c>
    </row>
    <row r="283">
      <c r="A283" s="11" t="n"/>
      <c r="B283" s="12">
        <f>IF($S283="","",IFERROR(MATCH($S283,IMPOSTAZIONI!$F$5:$F$12,0),9)&amp;" · "&amp;$S283)</f>
        <v/>
      </c>
      <c r="C283" s="13" t="n"/>
      <c r="D283" s="14" t="n"/>
      <c r="E283" s="11" t="n"/>
      <c r="F283" s="15">
        <f>IF($A283="","",IF(LEN(IF(AND($C283&lt;&gt;"",$C283=TODAY())," · oggi in centro","")&amp;IF(AND($C283&lt;&gt;"",$C283&gt;=TODAY(),N($D283)+1&gt;=IMPOSTAZIONI!$C$5)," · ultima del ciclo, proponi il mantenimento","")&amp;IF(AND($C283&lt;&gt;"",$C283&gt;=TODAY(),$I283&lt;&gt;"",$C283-$I283&lt;IMPOSTAZIONI!$C$6)," · rientro anticipato, meno di "&amp;IMPOSTAZIONI!$C$6&amp;" giorni","")&amp;IF(AND($C283&lt;&gt;"",$C283&gt;=TODAY(),$I283&lt;&gt;"",$C283-$I283&gt;IMPOSTAZIONI!$C$7)," · rientro oltre "&amp;IMPOSTAZIONI!$C$7&amp;" giorni",""))=0,"",MID(IF(AND($C283&lt;&gt;"",$C283=TODAY())," · oggi in centro","")&amp;IF(AND($C283&lt;&gt;"",$C283&gt;=TODAY(),N($D283)+1&gt;=IMPOSTAZIONI!$C$5)," · ultima del ciclo, proponi il mantenimento","")&amp;IF(AND($C283&lt;&gt;"",$C283&gt;=TODAY(),$I283&lt;&gt;"",$C283-$I283&lt;IMPOSTAZIONI!$C$6)," · rientro anticipato, meno di "&amp;IMPOSTAZIONI!$C$6&amp;" giorni","")&amp;IF(AND($C283&lt;&gt;"",$C283&gt;=TODAY(),$I283&lt;&gt;"",$C283-$I283&gt;IMPOSTAZIONI!$C$7)," · rientro oltre "&amp;IMPOSTAZIONI!$C$7&amp;" giorni",""),4,300)))</f>
        <v/>
      </c>
      <c r="G283" s="16" t="n"/>
      <c r="H283" s="11" t="n"/>
      <c r="I283" s="13" t="n"/>
      <c r="J283" s="17">
        <f>IF($I283="","",TODAY()-$I283)</f>
        <v/>
      </c>
      <c r="K283" s="17">
        <f>IF($C283="","",$C283-TODAY())</f>
        <v/>
      </c>
      <c r="L283" s="15">
        <f>IF($A283="","",N($D283)&amp;"/"&amp;IMPOSTAZIONI!$C$5)</f>
        <v/>
      </c>
      <c r="M283" s="15">
        <f>IF($S283="","",IF($S283="RECUPERA CON INCENTIVO",INCENTIVI!$C$7,IF($S283="RICHIAMO MANTENIMENTO",INCENTIVI!$C$6,IF(OR($S283="FUORI FINESTRA",$S283="ULTIMA SEDUTA"),INCENTIVI!$C$5,""))))</f>
        <v/>
      </c>
      <c r="N283" s="18" t="n"/>
      <c r="O283" s="19">
        <f>IF($A283="","",N($D283)*N($N283))</f>
        <v/>
      </c>
      <c r="P283" s="19">
        <f>IF($A283="","",MAX(0,(IMPOSTAZIONI!$C$5-N($D283))*N($N283)))</f>
        <v/>
      </c>
      <c r="Q283" s="13" t="n"/>
      <c r="R283" s="11" t="n"/>
      <c r="S283" s="15">
        <f>IF($A283="","",IF(AND($C283&lt;&gt;"",$C283&lt;TODAY(),OR($I283="",$I283&lt;$C283)),"APPUNTAMENTO SALTATO",IF(AND($C283&lt;&gt;"",$C283-TODAY()=1),"CONFERMA DOMANI",IF(AND($C283&lt;&gt;"",$C283-TODAY()=IMPOSTAZIONI!$C$8),"CHIAMA PER CONFERMA",IF(AND($C283&lt;&gt;"",$C283&gt;=TODAY()),"",IF($E283="Sospesa","",IF($E283="Persa","RECUPERA CON INCENTIVO",IF(AND($I283&lt;&gt;"",TODAY()&gt;=EDATE($I283,IMPOSTAZIONI!$C$10)),"RECUPERA CON INCENTIVO",IF($E283="Mantenimento",IF(AND($I283&lt;&gt;"",TODAY()-$I283&gt;=IMPOSTAZIONI!$C$9),"RICHIAMO MANTENIMENTO",""),IF($E283="In ciclo",IF(N($D283)&gt;=IMPOSTAZIONI!$C$5,"ULTIMA SEDUTA",IF(AND($I283&lt;&gt;"",TODAY()-$I283&gt;IMPOSTAZIONI!$C$7),"FUORI FINESTRA","PRENDI APPUNTAMENTO")),IF($E283="Da contattare","PRENDI APPUNTAMENTO","")))))))))))</f>
        <v/>
      </c>
      <c r="T283" s="17">
        <f>IF($S283="","",IFERROR(MATCH($S283,IMPOSTAZIONI!$F$5:$F$12,0),9)*100000000+(9999-MIN(9999,ROUND(N($O283)/100,0)))*10000+ROW())</f>
        <v/>
      </c>
    </row>
    <row r="284">
      <c r="A284" s="11" t="n"/>
      <c r="B284" s="12">
        <f>IF($S284="","",IFERROR(MATCH($S284,IMPOSTAZIONI!$F$5:$F$12,0),9)&amp;" · "&amp;$S284)</f>
        <v/>
      </c>
      <c r="C284" s="13" t="n"/>
      <c r="D284" s="14" t="n"/>
      <c r="E284" s="11" t="n"/>
      <c r="F284" s="15">
        <f>IF($A284="","",IF(LEN(IF(AND($C284&lt;&gt;"",$C284=TODAY())," · oggi in centro","")&amp;IF(AND($C284&lt;&gt;"",$C284&gt;=TODAY(),N($D284)+1&gt;=IMPOSTAZIONI!$C$5)," · ultima del ciclo, proponi il mantenimento","")&amp;IF(AND($C284&lt;&gt;"",$C284&gt;=TODAY(),$I284&lt;&gt;"",$C284-$I284&lt;IMPOSTAZIONI!$C$6)," · rientro anticipato, meno di "&amp;IMPOSTAZIONI!$C$6&amp;" giorni","")&amp;IF(AND($C284&lt;&gt;"",$C284&gt;=TODAY(),$I284&lt;&gt;"",$C284-$I284&gt;IMPOSTAZIONI!$C$7)," · rientro oltre "&amp;IMPOSTAZIONI!$C$7&amp;" giorni",""))=0,"",MID(IF(AND($C284&lt;&gt;"",$C284=TODAY())," · oggi in centro","")&amp;IF(AND($C284&lt;&gt;"",$C284&gt;=TODAY(),N($D284)+1&gt;=IMPOSTAZIONI!$C$5)," · ultima del ciclo, proponi il mantenimento","")&amp;IF(AND($C284&lt;&gt;"",$C284&gt;=TODAY(),$I284&lt;&gt;"",$C284-$I284&lt;IMPOSTAZIONI!$C$6)," · rientro anticipato, meno di "&amp;IMPOSTAZIONI!$C$6&amp;" giorni","")&amp;IF(AND($C284&lt;&gt;"",$C284&gt;=TODAY(),$I284&lt;&gt;"",$C284-$I284&gt;IMPOSTAZIONI!$C$7)," · rientro oltre "&amp;IMPOSTAZIONI!$C$7&amp;" giorni",""),4,300)))</f>
        <v/>
      </c>
      <c r="G284" s="16" t="n"/>
      <c r="H284" s="11" t="n"/>
      <c r="I284" s="13" t="n"/>
      <c r="J284" s="17">
        <f>IF($I284="","",TODAY()-$I284)</f>
        <v/>
      </c>
      <c r="K284" s="17">
        <f>IF($C284="","",$C284-TODAY())</f>
        <v/>
      </c>
      <c r="L284" s="15">
        <f>IF($A284="","",N($D284)&amp;"/"&amp;IMPOSTAZIONI!$C$5)</f>
        <v/>
      </c>
      <c r="M284" s="15">
        <f>IF($S284="","",IF($S284="RECUPERA CON INCENTIVO",INCENTIVI!$C$7,IF($S284="RICHIAMO MANTENIMENTO",INCENTIVI!$C$6,IF(OR($S284="FUORI FINESTRA",$S284="ULTIMA SEDUTA"),INCENTIVI!$C$5,""))))</f>
        <v/>
      </c>
      <c r="N284" s="18" t="n"/>
      <c r="O284" s="19">
        <f>IF($A284="","",N($D284)*N($N284))</f>
        <v/>
      </c>
      <c r="P284" s="19">
        <f>IF($A284="","",MAX(0,(IMPOSTAZIONI!$C$5-N($D284))*N($N284)))</f>
        <v/>
      </c>
      <c r="Q284" s="13" t="n"/>
      <c r="R284" s="11" t="n"/>
      <c r="S284" s="15">
        <f>IF($A284="","",IF(AND($C284&lt;&gt;"",$C284&lt;TODAY(),OR($I284="",$I284&lt;$C284)),"APPUNTAMENTO SALTATO",IF(AND($C284&lt;&gt;"",$C284-TODAY()=1),"CONFERMA DOMANI",IF(AND($C284&lt;&gt;"",$C284-TODAY()=IMPOSTAZIONI!$C$8),"CHIAMA PER CONFERMA",IF(AND($C284&lt;&gt;"",$C284&gt;=TODAY()),"",IF($E284="Sospesa","",IF($E284="Persa","RECUPERA CON INCENTIVO",IF(AND($I284&lt;&gt;"",TODAY()&gt;=EDATE($I284,IMPOSTAZIONI!$C$10)),"RECUPERA CON INCENTIVO",IF($E284="Mantenimento",IF(AND($I284&lt;&gt;"",TODAY()-$I284&gt;=IMPOSTAZIONI!$C$9),"RICHIAMO MANTENIMENTO",""),IF($E284="In ciclo",IF(N($D284)&gt;=IMPOSTAZIONI!$C$5,"ULTIMA SEDUTA",IF(AND($I284&lt;&gt;"",TODAY()-$I284&gt;IMPOSTAZIONI!$C$7),"FUORI FINESTRA","PRENDI APPUNTAMENTO")),IF($E284="Da contattare","PRENDI APPUNTAMENTO","")))))))))))</f>
        <v/>
      </c>
      <c r="T284" s="17">
        <f>IF($S284="","",IFERROR(MATCH($S284,IMPOSTAZIONI!$F$5:$F$12,0),9)*100000000+(9999-MIN(9999,ROUND(N($O284)/100,0)))*10000+ROW())</f>
        <v/>
      </c>
    </row>
    <row r="285">
      <c r="A285" s="11" t="n"/>
      <c r="B285" s="12">
        <f>IF($S285="","",IFERROR(MATCH($S285,IMPOSTAZIONI!$F$5:$F$12,0),9)&amp;" · "&amp;$S285)</f>
        <v/>
      </c>
      <c r="C285" s="13" t="n"/>
      <c r="D285" s="14" t="n"/>
      <c r="E285" s="11" t="n"/>
      <c r="F285" s="15">
        <f>IF($A285="","",IF(LEN(IF(AND($C285&lt;&gt;"",$C285=TODAY())," · oggi in centro","")&amp;IF(AND($C285&lt;&gt;"",$C285&gt;=TODAY(),N($D285)+1&gt;=IMPOSTAZIONI!$C$5)," · ultima del ciclo, proponi il mantenimento","")&amp;IF(AND($C285&lt;&gt;"",$C285&gt;=TODAY(),$I285&lt;&gt;"",$C285-$I285&lt;IMPOSTAZIONI!$C$6)," · rientro anticipato, meno di "&amp;IMPOSTAZIONI!$C$6&amp;" giorni","")&amp;IF(AND($C285&lt;&gt;"",$C285&gt;=TODAY(),$I285&lt;&gt;"",$C285-$I285&gt;IMPOSTAZIONI!$C$7)," · rientro oltre "&amp;IMPOSTAZIONI!$C$7&amp;" giorni",""))=0,"",MID(IF(AND($C285&lt;&gt;"",$C285=TODAY())," · oggi in centro","")&amp;IF(AND($C285&lt;&gt;"",$C285&gt;=TODAY(),N($D285)+1&gt;=IMPOSTAZIONI!$C$5)," · ultima del ciclo, proponi il mantenimento","")&amp;IF(AND($C285&lt;&gt;"",$C285&gt;=TODAY(),$I285&lt;&gt;"",$C285-$I285&lt;IMPOSTAZIONI!$C$6)," · rientro anticipato, meno di "&amp;IMPOSTAZIONI!$C$6&amp;" giorni","")&amp;IF(AND($C285&lt;&gt;"",$C285&gt;=TODAY(),$I285&lt;&gt;"",$C285-$I285&gt;IMPOSTAZIONI!$C$7)," · rientro oltre "&amp;IMPOSTAZIONI!$C$7&amp;" giorni",""),4,300)))</f>
        <v/>
      </c>
      <c r="G285" s="16" t="n"/>
      <c r="H285" s="11" t="n"/>
      <c r="I285" s="13" t="n"/>
      <c r="J285" s="17">
        <f>IF($I285="","",TODAY()-$I285)</f>
        <v/>
      </c>
      <c r="K285" s="17">
        <f>IF($C285="","",$C285-TODAY())</f>
        <v/>
      </c>
      <c r="L285" s="15">
        <f>IF($A285="","",N($D285)&amp;"/"&amp;IMPOSTAZIONI!$C$5)</f>
        <v/>
      </c>
      <c r="M285" s="15">
        <f>IF($S285="","",IF($S285="RECUPERA CON INCENTIVO",INCENTIVI!$C$7,IF($S285="RICHIAMO MANTENIMENTO",INCENTIVI!$C$6,IF(OR($S285="FUORI FINESTRA",$S285="ULTIMA SEDUTA"),INCENTIVI!$C$5,""))))</f>
        <v/>
      </c>
      <c r="N285" s="18" t="n"/>
      <c r="O285" s="19">
        <f>IF($A285="","",N($D285)*N($N285))</f>
        <v/>
      </c>
      <c r="P285" s="19">
        <f>IF($A285="","",MAX(0,(IMPOSTAZIONI!$C$5-N($D285))*N($N285)))</f>
        <v/>
      </c>
      <c r="Q285" s="13" t="n"/>
      <c r="R285" s="11" t="n"/>
      <c r="S285" s="15">
        <f>IF($A285="","",IF(AND($C285&lt;&gt;"",$C285&lt;TODAY(),OR($I285="",$I285&lt;$C285)),"APPUNTAMENTO SALTATO",IF(AND($C285&lt;&gt;"",$C285-TODAY()=1),"CONFERMA DOMANI",IF(AND($C285&lt;&gt;"",$C285-TODAY()=IMPOSTAZIONI!$C$8),"CHIAMA PER CONFERMA",IF(AND($C285&lt;&gt;"",$C285&gt;=TODAY()),"",IF($E285="Sospesa","",IF($E285="Persa","RECUPERA CON INCENTIVO",IF(AND($I285&lt;&gt;"",TODAY()&gt;=EDATE($I285,IMPOSTAZIONI!$C$10)),"RECUPERA CON INCENTIVO",IF($E285="Mantenimento",IF(AND($I285&lt;&gt;"",TODAY()-$I285&gt;=IMPOSTAZIONI!$C$9),"RICHIAMO MANTENIMENTO",""),IF($E285="In ciclo",IF(N($D285)&gt;=IMPOSTAZIONI!$C$5,"ULTIMA SEDUTA",IF(AND($I285&lt;&gt;"",TODAY()-$I285&gt;IMPOSTAZIONI!$C$7),"FUORI FINESTRA","PRENDI APPUNTAMENTO")),IF($E285="Da contattare","PRENDI APPUNTAMENTO","")))))))))))</f>
        <v/>
      </c>
      <c r="T285" s="17">
        <f>IF($S285="","",IFERROR(MATCH($S285,IMPOSTAZIONI!$F$5:$F$12,0),9)*100000000+(9999-MIN(9999,ROUND(N($O285)/100,0)))*10000+ROW())</f>
        <v/>
      </c>
    </row>
    <row r="286">
      <c r="A286" s="11" t="n"/>
      <c r="B286" s="12">
        <f>IF($S286="","",IFERROR(MATCH($S286,IMPOSTAZIONI!$F$5:$F$12,0),9)&amp;" · "&amp;$S286)</f>
        <v/>
      </c>
      <c r="C286" s="13" t="n"/>
      <c r="D286" s="14" t="n"/>
      <c r="E286" s="11" t="n"/>
      <c r="F286" s="15">
        <f>IF($A286="","",IF(LEN(IF(AND($C286&lt;&gt;"",$C286=TODAY())," · oggi in centro","")&amp;IF(AND($C286&lt;&gt;"",$C286&gt;=TODAY(),N($D286)+1&gt;=IMPOSTAZIONI!$C$5)," · ultima del ciclo, proponi il mantenimento","")&amp;IF(AND($C286&lt;&gt;"",$C286&gt;=TODAY(),$I286&lt;&gt;"",$C286-$I286&lt;IMPOSTAZIONI!$C$6)," · rientro anticipato, meno di "&amp;IMPOSTAZIONI!$C$6&amp;" giorni","")&amp;IF(AND($C286&lt;&gt;"",$C286&gt;=TODAY(),$I286&lt;&gt;"",$C286-$I286&gt;IMPOSTAZIONI!$C$7)," · rientro oltre "&amp;IMPOSTAZIONI!$C$7&amp;" giorni",""))=0,"",MID(IF(AND($C286&lt;&gt;"",$C286=TODAY())," · oggi in centro","")&amp;IF(AND($C286&lt;&gt;"",$C286&gt;=TODAY(),N($D286)+1&gt;=IMPOSTAZIONI!$C$5)," · ultima del ciclo, proponi il mantenimento","")&amp;IF(AND($C286&lt;&gt;"",$C286&gt;=TODAY(),$I286&lt;&gt;"",$C286-$I286&lt;IMPOSTAZIONI!$C$6)," · rientro anticipato, meno di "&amp;IMPOSTAZIONI!$C$6&amp;" giorni","")&amp;IF(AND($C286&lt;&gt;"",$C286&gt;=TODAY(),$I286&lt;&gt;"",$C286-$I286&gt;IMPOSTAZIONI!$C$7)," · rientro oltre "&amp;IMPOSTAZIONI!$C$7&amp;" giorni",""),4,300)))</f>
        <v/>
      </c>
      <c r="G286" s="16" t="n"/>
      <c r="H286" s="11" t="n"/>
      <c r="I286" s="13" t="n"/>
      <c r="J286" s="17">
        <f>IF($I286="","",TODAY()-$I286)</f>
        <v/>
      </c>
      <c r="K286" s="17">
        <f>IF($C286="","",$C286-TODAY())</f>
        <v/>
      </c>
      <c r="L286" s="15">
        <f>IF($A286="","",N($D286)&amp;"/"&amp;IMPOSTAZIONI!$C$5)</f>
        <v/>
      </c>
      <c r="M286" s="15">
        <f>IF($S286="","",IF($S286="RECUPERA CON INCENTIVO",INCENTIVI!$C$7,IF($S286="RICHIAMO MANTENIMENTO",INCENTIVI!$C$6,IF(OR($S286="FUORI FINESTRA",$S286="ULTIMA SEDUTA"),INCENTIVI!$C$5,""))))</f>
        <v/>
      </c>
      <c r="N286" s="18" t="n"/>
      <c r="O286" s="19">
        <f>IF($A286="","",N($D286)*N($N286))</f>
        <v/>
      </c>
      <c r="P286" s="19">
        <f>IF($A286="","",MAX(0,(IMPOSTAZIONI!$C$5-N($D286))*N($N286)))</f>
        <v/>
      </c>
      <c r="Q286" s="13" t="n"/>
      <c r="R286" s="11" t="n"/>
      <c r="S286" s="15">
        <f>IF($A286="","",IF(AND($C286&lt;&gt;"",$C286&lt;TODAY(),OR($I286="",$I286&lt;$C286)),"APPUNTAMENTO SALTATO",IF(AND($C286&lt;&gt;"",$C286-TODAY()=1),"CONFERMA DOMANI",IF(AND($C286&lt;&gt;"",$C286-TODAY()=IMPOSTAZIONI!$C$8),"CHIAMA PER CONFERMA",IF(AND($C286&lt;&gt;"",$C286&gt;=TODAY()),"",IF($E286="Sospesa","",IF($E286="Persa","RECUPERA CON INCENTIVO",IF(AND($I286&lt;&gt;"",TODAY()&gt;=EDATE($I286,IMPOSTAZIONI!$C$10)),"RECUPERA CON INCENTIVO",IF($E286="Mantenimento",IF(AND($I286&lt;&gt;"",TODAY()-$I286&gt;=IMPOSTAZIONI!$C$9),"RICHIAMO MANTENIMENTO",""),IF($E286="In ciclo",IF(N($D286)&gt;=IMPOSTAZIONI!$C$5,"ULTIMA SEDUTA",IF(AND($I286&lt;&gt;"",TODAY()-$I286&gt;IMPOSTAZIONI!$C$7),"FUORI FINESTRA","PRENDI APPUNTAMENTO")),IF($E286="Da contattare","PRENDI APPUNTAMENTO","")))))))))))</f>
        <v/>
      </c>
      <c r="T286" s="17">
        <f>IF($S286="","",IFERROR(MATCH($S286,IMPOSTAZIONI!$F$5:$F$12,0),9)*100000000+(9999-MIN(9999,ROUND(N($O286)/100,0)))*10000+ROW())</f>
        <v/>
      </c>
    </row>
    <row r="287">
      <c r="A287" s="11" t="n"/>
      <c r="B287" s="12">
        <f>IF($S287="","",IFERROR(MATCH($S287,IMPOSTAZIONI!$F$5:$F$12,0),9)&amp;" · "&amp;$S287)</f>
        <v/>
      </c>
      <c r="C287" s="13" t="n"/>
      <c r="D287" s="14" t="n"/>
      <c r="E287" s="11" t="n"/>
      <c r="F287" s="15">
        <f>IF($A287="","",IF(LEN(IF(AND($C287&lt;&gt;"",$C287=TODAY())," · oggi in centro","")&amp;IF(AND($C287&lt;&gt;"",$C287&gt;=TODAY(),N($D287)+1&gt;=IMPOSTAZIONI!$C$5)," · ultima del ciclo, proponi il mantenimento","")&amp;IF(AND($C287&lt;&gt;"",$C287&gt;=TODAY(),$I287&lt;&gt;"",$C287-$I287&lt;IMPOSTAZIONI!$C$6)," · rientro anticipato, meno di "&amp;IMPOSTAZIONI!$C$6&amp;" giorni","")&amp;IF(AND($C287&lt;&gt;"",$C287&gt;=TODAY(),$I287&lt;&gt;"",$C287-$I287&gt;IMPOSTAZIONI!$C$7)," · rientro oltre "&amp;IMPOSTAZIONI!$C$7&amp;" giorni",""))=0,"",MID(IF(AND($C287&lt;&gt;"",$C287=TODAY())," · oggi in centro","")&amp;IF(AND($C287&lt;&gt;"",$C287&gt;=TODAY(),N($D287)+1&gt;=IMPOSTAZIONI!$C$5)," · ultima del ciclo, proponi il mantenimento","")&amp;IF(AND($C287&lt;&gt;"",$C287&gt;=TODAY(),$I287&lt;&gt;"",$C287-$I287&lt;IMPOSTAZIONI!$C$6)," · rientro anticipato, meno di "&amp;IMPOSTAZIONI!$C$6&amp;" giorni","")&amp;IF(AND($C287&lt;&gt;"",$C287&gt;=TODAY(),$I287&lt;&gt;"",$C287-$I287&gt;IMPOSTAZIONI!$C$7)," · rientro oltre "&amp;IMPOSTAZIONI!$C$7&amp;" giorni",""),4,300)))</f>
        <v/>
      </c>
      <c r="G287" s="16" t="n"/>
      <c r="H287" s="11" t="n"/>
      <c r="I287" s="13" t="n"/>
      <c r="J287" s="17">
        <f>IF($I287="","",TODAY()-$I287)</f>
        <v/>
      </c>
      <c r="K287" s="17">
        <f>IF($C287="","",$C287-TODAY())</f>
        <v/>
      </c>
      <c r="L287" s="15">
        <f>IF($A287="","",N($D287)&amp;"/"&amp;IMPOSTAZIONI!$C$5)</f>
        <v/>
      </c>
      <c r="M287" s="15">
        <f>IF($S287="","",IF($S287="RECUPERA CON INCENTIVO",INCENTIVI!$C$7,IF($S287="RICHIAMO MANTENIMENTO",INCENTIVI!$C$6,IF(OR($S287="FUORI FINESTRA",$S287="ULTIMA SEDUTA"),INCENTIVI!$C$5,""))))</f>
        <v/>
      </c>
      <c r="N287" s="18" t="n"/>
      <c r="O287" s="19">
        <f>IF($A287="","",N($D287)*N($N287))</f>
        <v/>
      </c>
      <c r="P287" s="19">
        <f>IF($A287="","",MAX(0,(IMPOSTAZIONI!$C$5-N($D287))*N($N287)))</f>
        <v/>
      </c>
      <c r="Q287" s="13" t="n"/>
      <c r="R287" s="11" t="n"/>
      <c r="S287" s="15">
        <f>IF($A287="","",IF(AND($C287&lt;&gt;"",$C287&lt;TODAY(),OR($I287="",$I287&lt;$C287)),"APPUNTAMENTO SALTATO",IF(AND($C287&lt;&gt;"",$C287-TODAY()=1),"CONFERMA DOMANI",IF(AND($C287&lt;&gt;"",$C287-TODAY()=IMPOSTAZIONI!$C$8),"CHIAMA PER CONFERMA",IF(AND($C287&lt;&gt;"",$C287&gt;=TODAY()),"",IF($E287="Sospesa","",IF($E287="Persa","RECUPERA CON INCENTIVO",IF(AND($I287&lt;&gt;"",TODAY()&gt;=EDATE($I287,IMPOSTAZIONI!$C$10)),"RECUPERA CON INCENTIVO",IF($E287="Mantenimento",IF(AND($I287&lt;&gt;"",TODAY()-$I287&gt;=IMPOSTAZIONI!$C$9),"RICHIAMO MANTENIMENTO",""),IF($E287="In ciclo",IF(N($D287)&gt;=IMPOSTAZIONI!$C$5,"ULTIMA SEDUTA",IF(AND($I287&lt;&gt;"",TODAY()-$I287&gt;IMPOSTAZIONI!$C$7),"FUORI FINESTRA","PRENDI APPUNTAMENTO")),IF($E287="Da contattare","PRENDI APPUNTAMENTO","")))))))))))</f>
        <v/>
      </c>
      <c r="T287" s="17">
        <f>IF($S287="","",IFERROR(MATCH($S287,IMPOSTAZIONI!$F$5:$F$12,0),9)*100000000+(9999-MIN(9999,ROUND(N($O287)/100,0)))*10000+ROW())</f>
        <v/>
      </c>
    </row>
    <row r="288">
      <c r="A288" s="11" t="n"/>
      <c r="B288" s="12">
        <f>IF($S288="","",IFERROR(MATCH($S288,IMPOSTAZIONI!$F$5:$F$12,0),9)&amp;" · "&amp;$S288)</f>
        <v/>
      </c>
      <c r="C288" s="13" t="n"/>
      <c r="D288" s="14" t="n"/>
      <c r="E288" s="11" t="n"/>
      <c r="F288" s="15">
        <f>IF($A288="","",IF(LEN(IF(AND($C288&lt;&gt;"",$C288=TODAY())," · oggi in centro","")&amp;IF(AND($C288&lt;&gt;"",$C288&gt;=TODAY(),N($D288)+1&gt;=IMPOSTAZIONI!$C$5)," · ultima del ciclo, proponi il mantenimento","")&amp;IF(AND($C288&lt;&gt;"",$C288&gt;=TODAY(),$I288&lt;&gt;"",$C288-$I288&lt;IMPOSTAZIONI!$C$6)," · rientro anticipato, meno di "&amp;IMPOSTAZIONI!$C$6&amp;" giorni","")&amp;IF(AND($C288&lt;&gt;"",$C288&gt;=TODAY(),$I288&lt;&gt;"",$C288-$I288&gt;IMPOSTAZIONI!$C$7)," · rientro oltre "&amp;IMPOSTAZIONI!$C$7&amp;" giorni",""))=0,"",MID(IF(AND($C288&lt;&gt;"",$C288=TODAY())," · oggi in centro","")&amp;IF(AND($C288&lt;&gt;"",$C288&gt;=TODAY(),N($D288)+1&gt;=IMPOSTAZIONI!$C$5)," · ultima del ciclo, proponi il mantenimento","")&amp;IF(AND($C288&lt;&gt;"",$C288&gt;=TODAY(),$I288&lt;&gt;"",$C288-$I288&lt;IMPOSTAZIONI!$C$6)," · rientro anticipato, meno di "&amp;IMPOSTAZIONI!$C$6&amp;" giorni","")&amp;IF(AND($C288&lt;&gt;"",$C288&gt;=TODAY(),$I288&lt;&gt;"",$C288-$I288&gt;IMPOSTAZIONI!$C$7)," · rientro oltre "&amp;IMPOSTAZIONI!$C$7&amp;" giorni",""),4,300)))</f>
        <v/>
      </c>
      <c r="G288" s="16" t="n"/>
      <c r="H288" s="11" t="n"/>
      <c r="I288" s="13" t="n"/>
      <c r="J288" s="17">
        <f>IF($I288="","",TODAY()-$I288)</f>
        <v/>
      </c>
      <c r="K288" s="17">
        <f>IF($C288="","",$C288-TODAY())</f>
        <v/>
      </c>
      <c r="L288" s="15">
        <f>IF($A288="","",N($D288)&amp;"/"&amp;IMPOSTAZIONI!$C$5)</f>
        <v/>
      </c>
      <c r="M288" s="15">
        <f>IF($S288="","",IF($S288="RECUPERA CON INCENTIVO",INCENTIVI!$C$7,IF($S288="RICHIAMO MANTENIMENTO",INCENTIVI!$C$6,IF(OR($S288="FUORI FINESTRA",$S288="ULTIMA SEDUTA"),INCENTIVI!$C$5,""))))</f>
        <v/>
      </c>
      <c r="N288" s="18" t="n"/>
      <c r="O288" s="19">
        <f>IF($A288="","",N($D288)*N($N288))</f>
        <v/>
      </c>
      <c r="P288" s="19">
        <f>IF($A288="","",MAX(0,(IMPOSTAZIONI!$C$5-N($D288))*N($N288)))</f>
        <v/>
      </c>
      <c r="Q288" s="13" t="n"/>
      <c r="R288" s="11" t="n"/>
      <c r="S288" s="15">
        <f>IF($A288="","",IF(AND($C288&lt;&gt;"",$C288&lt;TODAY(),OR($I288="",$I288&lt;$C288)),"APPUNTAMENTO SALTATO",IF(AND($C288&lt;&gt;"",$C288-TODAY()=1),"CONFERMA DOMANI",IF(AND($C288&lt;&gt;"",$C288-TODAY()=IMPOSTAZIONI!$C$8),"CHIAMA PER CONFERMA",IF(AND($C288&lt;&gt;"",$C288&gt;=TODAY()),"",IF($E288="Sospesa","",IF($E288="Persa","RECUPERA CON INCENTIVO",IF(AND($I288&lt;&gt;"",TODAY()&gt;=EDATE($I288,IMPOSTAZIONI!$C$10)),"RECUPERA CON INCENTIVO",IF($E288="Mantenimento",IF(AND($I288&lt;&gt;"",TODAY()-$I288&gt;=IMPOSTAZIONI!$C$9),"RICHIAMO MANTENIMENTO",""),IF($E288="In ciclo",IF(N($D288)&gt;=IMPOSTAZIONI!$C$5,"ULTIMA SEDUTA",IF(AND($I288&lt;&gt;"",TODAY()-$I288&gt;IMPOSTAZIONI!$C$7),"FUORI FINESTRA","PRENDI APPUNTAMENTO")),IF($E288="Da contattare","PRENDI APPUNTAMENTO","")))))))))))</f>
        <v/>
      </c>
      <c r="T288" s="17">
        <f>IF($S288="","",IFERROR(MATCH($S288,IMPOSTAZIONI!$F$5:$F$12,0),9)*100000000+(9999-MIN(9999,ROUND(N($O288)/100,0)))*10000+ROW())</f>
        <v/>
      </c>
    </row>
    <row r="289">
      <c r="A289" s="11" t="n"/>
      <c r="B289" s="12">
        <f>IF($S289="","",IFERROR(MATCH($S289,IMPOSTAZIONI!$F$5:$F$12,0),9)&amp;" · "&amp;$S289)</f>
        <v/>
      </c>
      <c r="C289" s="13" t="n"/>
      <c r="D289" s="14" t="n"/>
      <c r="E289" s="11" t="n"/>
      <c r="F289" s="15">
        <f>IF($A289="","",IF(LEN(IF(AND($C289&lt;&gt;"",$C289=TODAY())," · oggi in centro","")&amp;IF(AND($C289&lt;&gt;"",$C289&gt;=TODAY(),N($D289)+1&gt;=IMPOSTAZIONI!$C$5)," · ultima del ciclo, proponi il mantenimento","")&amp;IF(AND($C289&lt;&gt;"",$C289&gt;=TODAY(),$I289&lt;&gt;"",$C289-$I289&lt;IMPOSTAZIONI!$C$6)," · rientro anticipato, meno di "&amp;IMPOSTAZIONI!$C$6&amp;" giorni","")&amp;IF(AND($C289&lt;&gt;"",$C289&gt;=TODAY(),$I289&lt;&gt;"",$C289-$I289&gt;IMPOSTAZIONI!$C$7)," · rientro oltre "&amp;IMPOSTAZIONI!$C$7&amp;" giorni",""))=0,"",MID(IF(AND($C289&lt;&gt;"",$C289=TODAY())," · oggi in centro","")&amp;IF(AND($C289&lt;&gt;"",$C289&gt;=TODAY(),N($D289)+1&gt;=IMPOSTAZIONI!$C$5)," · ultima del ciclo, proponi il mantenimento","")&amp;IF(AND($C289&lt;&gt;"",$C289&gt;=TODAY(),$I289&lt;&gt;"",$C289-$I289&lt;IMPOSTAZIONI!$C$6)," · rientro anticipato, meno di "&amp;IMPOSTAZIONI!$C$6&amp;" giorni","")&amp;IF(AND($C289&lt;&gt;"",$C289&gt;=TODAY(),$I289&lt;&gt;"",$C289-$I289&gt;IMPOSTAZIONI!$C$7)," · rientro oltre "&amp;IMPOSTAZIONI!$C$7&amp;" giorni",""),4,300)))</f>
        <v/>
      </c>
      <c r="G289" s="16" t="n"/>
      <c r="H289" s="11" t="n"/>
      <c r="I289" s="13" t="n"/>
      <c r="J289" s="17">
        <f>IF($I289="","",TODAY()-$I289)</f>
        <v/>
      </c>
      <c r="K289" s="17">
        <f>IF($C289="","",$C289-TODAY())</f>
        <v/>
      </c>
      <c r="L289" s="15">
        <f>IF($A289="","",N($D289)&amp;"/"&amp;IMPOSTAZIONI!$C$5)</f>
        <v/>
      </c>
      <c r="M289" s="15">
        <f>IF($S289="","",IF($S289="RECUPERA CON INCENTIVO",INCENTIVI!$C$7,IF($S289="RICHIAMO MANTENIMENTO",INCENTIVI!$C$6,IF(OR($S289="FUORI FINESTRA",$S289="ULTIMA SEDUTA"),INCENTIVI!$C$5,""))))</f>
        <v/>
      </c>
      <c r="N289" s="18" t="n"/>
      <c r="O289" s="19">
        <f>IF($A289="","",N($D289)*N($N289))</f>
        <v/>
      </c>
      <c r="P289" s="19">
        <f>IF($A289="","",MAX(0,(IMPOSTAZIONI!$C$5-N($D289))*N($N289)))</f>
        <v/>
      </c>
      <c r="Q289" s="13" t="n"/>
      <c r="R289" s="11" t="n"/>
      <c r="S289" s="15">
        <f>IF($A289="","",IF(AND($C289&lt;&gt;"",$C289&lt;TODAY(),OR($I289="",$I289&lt;$C289)),"APPUNTAMENTO SALTATO",IF(AND($C289&lt;&gt;"",$C289-TODAY()=1),"CONFERMA DOMANI",IF(AND($C289&lt;&gt;"",$C289-TODAY()=IMPOSTAZIONI!$C$8),"CHIAMA PER CONFERMA",IF(AND($C289&lt;&gt;"",$C289&gt;=TODAY()),"",IF($E289="Sospesa","",IF($E289="Persa","RECUPERA CON INCENTIVO",IF(AND($I289&lt;&gt;"",TODAY()&gt;=EDATE($I289,IMPOSTAZIONI!$C$10)),"RECUPERA CON INCENTIVO",IF($E289="Mantenimento",IF(AND($I289&lt;&gt;"",TODAY()-$I289&gt;=IMPOSTAZIONI!$C$9),"RICHIAMO MANTENIMENTO",""),IF($E289="In ciclo",IF(N($D289)&gt;=IMPOSTAZIONI!$C$5,"ULTIMA SEDUTA",IF(AND($I289&lt;&gt;"",TODAY()-$I289&gt;IMPOSTAZIONI!$C$7),"FUORI FINESTRA","PRENDI APPUNTAMENTO")),IF($E289="Da contattare","PRENDI APPUNTAMENTO","")))))))))))</f>
        <v/>
      </c>
      <c r="T289" s="17">
        <f>IF($S289="","",IFERROR(MATCH($S289,IMPOSTAZIONI!$F$5:$F$12,0),9)*100000000+(9999-MIN(9999,ROUND(N($O289)/100,0)))*10000+ROW())</f>
        <v/>
      </c>
    </row>
    <row r="290">
      <c r="A290" s="11" t="n"/>
      <c r="B290" s="12">
        <f>IF($S290="","",IFERROR(MATCH($S290,IMPOSTAZIONI!$F$5:$F$12,0),9)&amp;" · "&amp;$S290)</f>
        <v/>
      </c>
      <c r="C290" s="13" t="n"/>
      <c r="D290" s="14" t="n"/>
      <c r="E290" s="11" t="n"/>
      <c r="F290" s="15">
        <f>IF($A290="","",IF(LEN(IF(AND($C290&lt;&gt;"",$C290=TODAY())," · oggi in centro","")&amp;IF(AND($C290&lt;&gt;"",$C290&gt;=TODAY(),N($D290)+1&gt;=IMPOSTAZIONI!$C$5)," · ultima del ciclo, proponi il mantenimento","")&amp;IF(AND($C290&lt;&gt;"",$C290&gt;=TODAY(),$I290&lt;&gt;"",$C290-$I290&lt;IMPOSTAZIONI!$C$6)," · rientro anticipato, meno di "&amp;IMPOSTAZIONI!$C$6&amp;" giorni","")&amp;IF(AND($C290&lt;&gt;"",$C290&gt;=TODAY(),$I290&lt;&gt;"",$C290-$I290&gt;IMPOSTAZIONI!$C$7)," · rientro oltre "&amp;IMPOSTAZIONI!$C$7&amp;" giorni",""))=0,"",MID(IF(AND($C290&lt;&gt;"",$C290=TODAY())," · oggi in centro","")&amp;IF(AND($C290&lt;&gt;"",$C290&gt;=TODAY(),N($D290)+1&gt;=IMPOSTAZIONI!$C$5)," · ultima del ciclo, proponi il mantenimento","")&amp;IF(AND($C290&lt;&gt;"",$C290&gt;=TODAY(),$I290&lt;&gt;"",$C290-$I290&lt;IMPOSTAZIONI!$C$6)," · rientro anticipato, meno di "&amp;IMPOSTAZIONI!$C$6&amp;" giorni","")&amp;IF(AND($C290&lt;&gt;"",$C290&gt;=TODAY(),$I290&lt;&gt;"",$C290-$I290&gt;IMPOSTAZIONI!$C$7)," · rientro oltre "&amp;IMPOSTAZIONI!$C$7&amp;" giorni",""),4,300)))</f>
        <v/>
      </c>
      <c r="G290" s="16" t="n"/>
      <c r="H290" s="11" t="n"/>
      <c r="I290" s="13" t="n"/>
      <c r="J290" s="17">
        <f>IF($I290="","",TODAY()-$I290)</f>
        <v/>
      </c>
      <c r="K290" s="17">
        <f>IF($C290="","",$C290-TODAY())</f>
        <v/>
      </c>
      <c r="L290" s="15">
        <f>IF($A290="","",N($D290)&amp;"/"&amp;IMPOSTAZIONI!$C$5)</f>
        <v/>
      </c>
      <c r="M290" s="15">
        <f>IF($S290="","",IF($S290="RECUPERA CON INCENTIVO",INCENTIVI!$C$7,IF($S290="RICHIAMO MANTENIMENTO",INCENTIVI!$C$6,IF(OR($S290="FUORI FINESTRA",$S290="ULTIMA SEDUTA"),INCENTIVI!$C$5,""))))</f>
        <v/>
      </c>
      <c r="N290" s="18" t="n"/>
      <c r="O290" s="19">
        <f>IF($A290="","",N($D290)*N($N290))</f>
        <v/>
      </c>
      <c r="P290" s="19">
        <f>IF($A290="","",MAX(0,(IMPOSTAZIONI!$C$5-N($D290))*N($N290)))</f>
        <v/>
      </c>
      <c r="Q290" s="13" t="n"/>
      <c r="R290" s="11" t="n"/>
      <c r="S290" s="15">
        <f>IF($A290="","",IF(AND($C290&lt;&gt;"",$C290&lt;TODAY(),OR($I290="",$I290&lt;$C290)),"APPUNTAMENTO SALTATO",IF(AND($C290&lt;&gt;"",$C290-TODAY()=1),"CONFERMA DOMANI",IF(AND($C290&lt;&gt;"",$C290-TODAY()=IMPOSTAZIONI!$C$8),"CHIAMA PER CONFERMA",IF(AND($C290&lt;&gt;"",$C290&gt;=TODAY()),"",IF($E290="Sospesa","",IF($E290="Persa","RECUPERA CON INCENTIVO",IF(AND($I290&lt;&gt;"",TODAY()&gt;=EDATE($I290,IMPOSTAZIONI!$C$10)),"RECUPERA CON INCENTIVO",IF($E290="Mantenimento",IF(AND($I290&lt;&gt;"",TODAY()-$I290&gt;=IMPOSTAZIONI!$C$9),"RICHIAMO MANTENIMENTO",""),IF($E290="In ciclo",IF(N($D290)&gt;=IMPOSTAZIONI!$C$5,"ULTIMA SEDUTA",IF(AND($I290&lt;&gt;"",TODAY()-$I290&gt;IMPOSTAZIONI!$C$7),"FUORI FINESTRA","PRENDI APPUNTAMENTO")),IF($E290="Da contattare","PRENDI APPUNTAMENTO","")))))))))))</f>
        <v/>
      </c>
      <c r="T290" s="17">
        <f>IF($S290="","",IFERROR(MATCH($S290,IMPOSTAZIONI!$F$5:$F$12,0),9)*100000000+(9999-MIN(9999,ROUND(N($O290)/100,0)))*10000+ROW())</f>
        <v/>
      </c>
    </row>
    <row r="291">
      <c r="A291" s="11" t="n"/>
      <c r="B291" s="12">
        <f>IF($S291="","",IFERROR(MATCH($S291,IMPOSTAZIONI!$F$5:$F$12,0),9)&amp;" · "&amp;$S291)</f>
        <v/>
      </c>
      <c r="C291" s="13" t="n"/>
      <c r="D291" s="14" t="n"/>
      <c r="E291" s="11" t="n"/>
      <c r="F291" s="15">
        <f>IF($A291="","",IF(LEN(IF(AND($C291&lt;&gt;"",$C291=TODAY())," · oggi in centro","")&amp;IF(AND($C291&lt;&gt;"",$C291&gt;=TODAY(),N($D291)+1&gt;=IMPOSTAZIONI!$C$5)," · ultima del ciclo, proponi il mantenimento","")&amp;IF(AND($C291&lt;&gt;"",$C291&gt;=TODAY(),$I291&lt;&gt;"",$C291-$I291&lt;IMPOSTAZIONI!$C$6)," · rientro anticipato, meno di "&amp;IMPOSTAZIONI!$C$6&amp;" giorni","")&amp;IF(AND($C291&lt;&gt;"",$C291&gt;=TODAY(),$I291&lt;&gt;"",$C291-$I291&gt;IMPOSTAZIONI!$C$7)," · rientro oltre "&amp;IMPOSTAZIONI!$C$7&amp;" giorni",""))=0,"",MID(IF(AND($C291&lt;&gt;"",$C291=TODAY())," · oggi in centro","")&amp;IF(AND($C291&lt;&gt;"",$C291&gt;=TODAY(),N($D291)+1&gt;=IMPOSTAZIONI!$C$5)," · ultima del ciclo, proponi il mantenimento","")&amp;IF(AND($C291&lt;&gt;"",$C291&gt;=TODAY(),$I291&lt;&gt;"",$C291-$I291&lt;IMPOSTAZIONI!$C$6)," · rientro anticipato, meno di "&amp;IMPOSTAZIONI!$C$6&amp;" giorni","")&amp;IF(AND($C291&lt;&gt;"",$C291&gt;=TODAY(),$I291&lt;&gt;"",$C291-$I291&gt;IMPOSTAZIONI!$C$7)," · rientro oltre "&amp;IMPOSTAZIONI!$C$7&amp;" giorni",""),4,300)))</f>
        <v/>
      </c>
      <c r="G291" s="16" t="n"/>
      <c r="H291" s="11" t="n"/>
      <c r="I291" s="13" t="n"/>
      <c r="J291" s="17">
        <f>IF($I291="","",TODAY()-$I291)</f>
        <v/>
      </c>
      <c r="K291" s="17">
        <f>IF($C291="","",$C291-TODAY())</f>
        <v/>
      </c>
      <c r="L291" s="15">
        <f>IF($A291="","",N($D291)&amp;"/"&amp;IMPOSTAZIONI!$C$5)</f>
        <v/>
      </c>
      <c r="M291" s="15">
        <f>IF($S291="","",IF($S291="RECUPERA CON INCENTIVO",INCENTIVI!$C$7,IF($S291="RICHIAMO MANTENIMENTO",INCENTIVI!$C$6,IF(OR($S291="FUORI FINESTRA",$S291="ULTIMA SEDUTA"),INCENTIVI!$C$5,""))))</f>
        <v/>
      </c>
      <c r="N291" s="18" t="n"/>
      <c r="O291" s="19">
        <f>IF($A291="","",N($D291)*N($N291))</f>
        <v/>
      </c>
      <c r="P291" s="19">
        <f>IF($A291="","",MAX(0,(IMPOSTAZIONI!$C$5-N($D291))*N($N291)))</f>
        <v/>
      </c>
      <c r="Q291" s="13" t="n"/>
      <c r="R291" s="11" t="n"/>
      <c r="S291" s="15">
        <f>IF($A291="","",IF(AND($C291&lt;&gt;"",$C291&lt;TODAY(),OR($I291="",$I291&lt;$C291)),"APPUNTAMENTO SALTATO",IF(AND($C291&lt;&gt;"",$C291-TODAY()=1),"CONFERMA DOMANI",IF(AND($C291&lt;&gt;"",$C291-TODAY()=IMPOSTAZIONI!$C$8),"CHIAMA PER CONFERMA",IF(AND($C291&lt;&gt;"",$C291&gt;=TODAY()),"",IF($E291="Sospesa","",IF($E291="Persa","RECUPERA CON INCENTIVO",IF(AND($I291&lt;&gt;"",TODAY()&gt;=EDATE($I291,IMPOSTAZIONI!$C$10)),"RECUPERA CON INCENTIVO",IF($E291="Mantenimento",IF(AND($I291&lt;&gt;"",TODAY()-$I291&gt;=IMPOSTAZIONI!$C$9),"RICHIAMO MANTENIMENTO",""),IF($E291="In ciclo",IF(N($D291)&gt;=IMPOSTAZIONI!$C$5,"ULTIMA SEDUTA",IF(AND($I291&lt;&gt;"",TODAY()-$I291&gt;IMPOSTAZIONI!$C$7),"FUORI FINESTRA","PRENDI APPUNTAMENTO")),IF($E291="Da contattare","PRENDI APPUNTAMENTO","")))))))))))</f>
        <v/>
      </c>
      <c r="T291" s="17">
        <f>IF($S291="","",IFERROR(MATCH($S291,IMPOSTAZIONI!$F$5:$F$12,0),9)*100000000+(9999-MIN(9999,ROUND(N($O291)/100,0)))*10000+ROW())</f>
        <v/>
      </c>
    </row>
    <row r="292">
      <c r="A292" s="11" t="n"/>
      <c r="B292" s="12">
        <f>IF($S292="","",IFERROR(MATCH($S292,IMPOSTAZIONI!$F$5:$F$12,0),9)&amp;" · "&amp;$S292)</f>
        <v/>
      </c>
      <c r="C292" s="13" t="n"/>
      <c r="D292" s="14" t="n"/>
      <c r="E292" s="11" t="n"/>
      <c r="F292" s="15">
        <f>IF($A292="","",IF(LEN(IF(AND($C292&lt;&gt;"",$C292=TODAY())," · oggi in centro","")&amp;IF(AND($C292&lt;&gt;"",$C292&gt;=TODAY(),N($D292)+1&gt;=IMPOSTAZIONI!$C$5)," · ultima del ciclo, proponi il mantenimento","")&amp;IF(AND($C292&lt;&gt;"",$C292&gt;=TODAY(),$I292&lt;&gt;"",$C292-$I292&lt;IMPOSTAZIONI!$C$6)," · rientro anticipato, meno di "&amp;IMPOSTAZIONI!$C$6&amp;" giorni","")&amp;IF(AND($C292&lt;&gt;"",$C292&gt;=TODAY(),$I292&lt;&gt;"",$C292-$I292&gt;IMPOSTAZIONI!$C$7)," · rientro oltre "&amp;IMPOSTAZIONI!$C$7&amp;" giorni",""))=0,"",MID(IF(AND($C292&lt;&gt;"",$C292=TODAY())," · oggi in centro","")&amp;IF(AND($C292&lt;&gt;"",$C292&gt;=TODAY(),N($D292)+1&gt;=IMPOSTAZIONI!$C$5)," · ultima del ciclo, proponi il mantenimento","")&amp;IF(AND($C292&lt;&gt;"",$C292&gt;=TODAY(),$I292&lt;&gt;"",$C292-$I292&lt;IMPOSTAZIONI!$C$6)," · rientro anticipato, meno di "&amp;IMPOSTAZIONI!$C$6&amp;" giorni","")&amp;IF(AND($C292&lt;&gt;"",$C292&gt;=TODAY(),$I292&lt;&gt;"",$C292-$I292&gt;IMPOSTAZIONI!$C$7)," · rientro oltre "&amp;IMPOSTAZIONI!$C$7&amp;" giorni",""),4,300)))</f>
        <v/>
      </c>
      <c r="G292" s="16" t="n"/>
      <c r="H292" s="11" t="n"/>
      <c r="I292" s="13" t="n"/>
      <c r="J292" s="17">
        <f>IF($I292="","",TODAY()-$I292)</f>
        <v/>
      </c>
      <c r="K292" s="17">
        <f>IF($C292="","",$C292-TODAY())</f>
        <v/>
      </c>
      <c r="L292" s="15">
        <f>IF($A292="","",N($D292)&amp;"/"&amp;IMPOSTAZIONI!$C$5)</f>
        <v/>
      </c>
      <c r="M292" s="15">
        <f>IF($S292="","",IF($S292="RECUPERA CON INCENTIVO",INCENTIVI!$C$7,IF($S292="RICHIAMO MANTENIMENTO",INCENTIVI!$C$6,IF(OR($S292="FUORI FINESTRA",$S292="ULTIMA SEDUTA"),INCENTIVI!$C$5,""))))</f>
        <v/>
      </c>
      <c r="N292" s="18" t="n"/>
      <c r="O292" s="19">
        <f>IF($A292="","",N($D292)*N($N292))</f>
        <v/>
      </c>
      <c r="P292" s="19">
        <f>IF($A292="","",MAX(0,(IMPOSTAZIONI!$C$5-N($D292))*N($N292)))</f>
        <v/>
      </c>
      <c r="Q292" s="13" t="n"/>
      <c r="R292" s="11" t="n"/>
      <c r="S292" s="15">
        <f>IF($A292="","",IF(AND($C292&lt;&gt;"",$C292&lt;TODAY(),OR($I292="",$I292&lt;$C292)),"APPUNTAMENTO SALTATO",IF(AND($C292&lt;&gt;"",$C292-TODAY()=1),"CONFERMA DOMANI",IF(AND($C292&lt;&gt;"",$C292-TODAY()=IMPOSTAZIONI!$C$8),"CHIAMA PER CONFERMA",IF(AND($C292&lt;&gt;"",$C292&gt;=TODAY()),"",IF($E292="Sospesa","",IF($E292="Persa","RECUPERA CON INCENTIVO",IF(AND($I292&lt;&gt;"",TODAY()&gt;=EDATE($I292,IMPOSTAZIONI!$C$10)),"RECUPERA CON INCENTIVO",IF($E292="Mantenimento",IF(AND($I292&lt;&gt;"",TODAY()-$I292&gt;=IMPOSTAZIONI!$C$9),"RICHIAMO MANTENIMENTO",""),IF($E292="In ciclo",IF(N($D292)&gt;=IMPOSTAZIONI!$C$5,"ULTIMA SEDUTA",IF(AND($I292&lt;&gt;"",TODAY()-$I292&gt;IMPOSTAZIONI!$C$7),"FUORI FINESTRA","PRENDI APPUNTAMENTO")),IF($E292="Da contattare","PRENDI APPUNTAMENTO","")))))))))))</f>
        <v/>
      </c>
      <c r="T292" s="17">
        <f>IF($S292="","",IFERROR(MATCH($S292,IMPOSTAZIONI!$F$5:$F$12,0),9)*100000000+(9999-MIN(9999,ROUND(N($O292)/100,0)))*10000+ROW())</f>
        <v/>
      </c>
    </row>
    <row r="293">
      <c r="A293" s="11" t="n"/>
      <c r="B293" s="12">
        <f>IF($S293="","",IFERROR(MATCH($S293,IMPOSTAZIONI!$F$5:$F$12,0),9)&amp;" · "&amp;$S293)</f>
        <v/>
      </c>
      <c r="C293" s="13" t="n"/>
      <c r="D293" s="14" t="n"/>
      <c r="E293" s="11" t="n"/>
      <c r="F293" s="15">
        <f>IF($A293="","",IF(LEN(IF(AND($C293&lt;&gt;"",$C293=TODAY())," · oggi in centro","")&amp;IF(AND($C293&lt;&gt;"",$C293&gt;=TODAY(),N($D293)+1&gt;=IMPOSTAZIONI!$C$5)," · ultima del ciclo, proponi il mantenimento","")&amp;IF(AND($C293&lt;&gt;"",$C293&gt;=TODAY(),$I293&lt;&gt;"",$C293-$I293&lt;IMPOSTAZIONI!$C$6)," · rientro anticipato, meno di "&amp;IMPOSTAZIONI!$C$6&amp;" giorni","")&amp;IF(AND($C293&lt;&gt;"",$C293&gt;=TODAY(),$I293&lt;&gt;"",$C293-$I293&gt;IMPOSTAZIONI!$C$7)," · rientro oltre "&amp;IMPOSTAZIONI!$C$7&amp;" giorni",""))=0,"",MID(IF(AND($C293&lt;&gt;"",$C293=TODAY())," · oggi in centro","")&amp;IF(AND($C293&lt;&gt;"",$C293&gt;=TODAY(),N($D293)+1&gt;=IMPOSTAZIONI!$C$5)," · ultima del ciclo, proponi il mantenimento","")&amp;IF(AND($C293&lt;&gt;"",$C293&gt;=TODAY(),$I293&lt;&gt;"",$C293-$I293&lt;IMPOSTAZIONI!$C$6)," · rientro anticipato, meno di "&amp;IMPOSTAZIONI!$C$6&amp;" giorni","")&amp;IF(AND($C293&lt;&gt;"",$C293&gt;=TODAY(),$I293&lt;&gt;"",$C293-$I293&gt;IMPOSTAZIONI!$C$7)," · rientro oltre "&amp;IMPOSTAZIONI!$C$7&amp;" giorni",""),4,300)))</f>
        <v/>
      </c>
      <c r="G293" s="16" t="n"/>
      <c r="H293" s="11" t="n"/>
      <c r="I293" s="13" t="n"/>
      <c r="J293" s="17">
        <f>IF($I293="","",TODAY()-$I293)</f>
        <v/>
      </c>
      <c r="K293" s="17">
        <f>IF($C293="","",$C293-TODAY())</f>
        <v/>
      </c>
      <c r="L293" s="15">
        <f>IF($A293="","",N($D293)&amp;"/"&amp;IMPOSTAZIONI!$C$5)</f>
        <v/>
      </c>
      <c r="M293" s="15">
        <f>IF($S293="","",IF($S293="RECUPERA CON INCENTIVO",INCENTIVI!$C$7,IF($S293="RICHIAMO MANTENIMENTO",INCENTIVI!$C$6,IF(OR($S293="FUORI FINESTRA",$S293="ULTIMA SEDUTA"),INCENTIVI!$C$5,""))))</f>
        <v/>
      </c>
      <c r="N293" s="18" t="n"/>
      <c r="O293" s="19">
        <f>IF($A293="","",N($D293)*N($N293))</f>
        <v/>
      </c>
      <c r="P293" s="19">
        <f>IF($A293="","",MAX(0,(IMPOSTAZIONI!$C$5-N($D293))*N($N293)))</f>
        <v/>
      </c>
      <c r="Q293" s="13" t="n"/>
      <c r="R293" s="11" t="n"/>
      <c r="S293" s="15">
        <f>IF($A293="","",IF(AND($C293&lt;&gt;"",$C293&lt;TODAY(),OR($I293="",$I293&lt;$C293)),"APPUNTAMENTO SALTATO",IF(AND($C293&lt;&gt;"",$C293-TODAY()=1),"CONFERMA DOMANI",IF(AND($C293&lt;&gt;"",$C293-TODAY()=IMPOSTAZIONI!$C$8),"CHIAMA PER CONFERMA",IF(AND($C293&lt;&gt;"",$C293&gt;=TODAY()),"",IF($E293="Sospesa","",IF($E293="Persa","RECUPERA CON INCENTIVO",IF(AND($I293&lt;&gt;"",TODAY()&gt;=EDATE($I293,IMPOSTAZIONI!$C$10)),"RECUPERA CON INCENTIVO",IF($E293="Mantenimento",IF(AND($I293&lt;&gt;"",TODAY()-$I293&gt;=IMPOSTAZIONI!$C$9),"RICHIAMO MANTENIMENTO",""),IF($E293="In ciclo",IF(N($D293)&gt;=IMPOSTAZIONI!$C$5,"ULTIMA SEDUTA",IF(AND($I293&lt;&gt;"",TODAY()-$I293&gt;IMPOSTAZIONI!$C$7),"FUORI FINESTRA","PRENDI APPUNTAMENTO")),IF($E293="Da contattare","PRENDI APPUNTAMENTO","")))))))))))</f>
        <v/>
      </c>
      <c r="T293" s="17">
        <f>IF($S293="","",IFERROR(MATCH($S293,IMPOSTAZIONI!$F$5:$F$12,0),9)*100000000+(9999-MIN(9999,ROUND(N($O293)/100,0)))*10000+ROW())</f>
        <v/>
      </c>
    </row>
    <row r="294">
      <c r="A294" s="11" t="n"/>
      <c r="B294" s="12">
        <f>IF($S294="","",IFERROR(MATCH($S294,IMPOSTAZIONI!$F$5:$F$12,0),9)&amp;" · "&amp;$S294)</f>
        <v/>
      </c>
      <c r="C294" s="13" t="n"/>
      <c r="D294" s="14" t="n"/>
      <c r="E294" s="11" t="n"/>
      <c r="F294" s="15">
        <f>IF($A294="","",IF(LEN(IF(AND($C294&lt;&gt;"",$C294=TODAY())," · oggi in centro","")&amp;IF(AND($C294&lt;&gt;"",$C294&gt;=TODAY(),N($D294)+1&gt;=IMPOSTAZIONI!$C$5)," · ultima del ciclo, proponi il mantenimento","")&amp;IF(AND($C294&lt;&gt;"",$C294&gt;=TODAY(),$I294&lt;&gt;"",$C294-$I294&lt;IMPOSTAZIONI!$C$6)," · rientro anticipato, meno di "&amp;IMPOSTAZIONI!$C$6&amp;" giorni","")&amp;IF(AND($C294&lt;&gt;"",$C294&gt;=TODAY(),$I294&lt;&gt;"",$C294-$I294&gt;IMPOSTAZIONI!$C$7)," · rientro oltre "&amp;IMPOSTAZIONI!$C$7&amp;" giorni",""))=0,"",MID(IF(AND($C294&lt;&gt;"",$C294=TODAY())," · oggi in centro","")&amp;IF(AND($C294&lt;&gt;"",$C294&gt;=TODAY(),N($D294)+1&gt;=IMPOSTAZIONI!$C$5)," · ultima del ciclo, proponi il mantenimento","")&amp;IF(AND($C294&lt;&gt;"",$C294&gt;=TODAY(),$I294&lt;&gt;"",$C294-$I294&lt;IMPOSTAZIONI!$C$6)," · rientro anticipato, meno di "&amp;IMPOSTAZIONI!$C$6&amp;" giorni","")&amp;IF(AND($C294&lt;&gt;"",$C294&gt;=TODAY(),$I294&lt;&gt;"",$C294-$I294&gt;IMPOSTAZIONI!$C$7)," · rientro oltre "&amp;IMPOSTAZIONI!$C$7&amp;" giorni",""),4,300)))</f>
        <v/>
      </c>
      <c r="G294" s="16" t="n"/>
      <c r="H294" s="11" t="n"/>
      <c r="I294" s="13" t="n"/>
      <c r="J294" s="17">
        <f>IF($I294="","",TODAY()-$I294)</f>
        <v/>
      </c>
      <c r="K294" s="17">
        <f>IF($C294="","",$C294-TODAY())</f>
        <v/>
      </c>
      <c r="L294" s="15">
        <f>IF($A294="","",N($D294)&amp;"/"&amp;IMPOSTAZIONI!$C$5)</f>
        <v/>
      </c>
      <c r="M294" s="15">
        <f>IF($S294="","",IF($S294="RECUPERA CON INCENTIVO",INCENTIVI!$C$7,IF($S294="RICHIAMO MANTENIMENTO",INCENTIVI!$C$6,IF(OR($S294="FUORI FINESTRA",$S294="ULTIMA SEDUTA"),INCENTIVI!$C$5,""))))</f>
        <v/>
      </c>
      <c r="N294" s="18" t="n"/>
      <c r="O294" s="19">
        <f>IF($A294="","",N($D294)*N($N294))</f>
        <v/>
      </c>
      <c r="P294" s="19">
        <f>IF($A294="","",MAX(0,(IMPOSTAZIONI!$C$5-N($D294))*N($N294)))</f>
        <v/>
      </c>
      <c r="Q294" s="13" t="n"/>
      <c r="R294" s="11" t="n"/>
      <c r="S294" s="15">
        <f>IF($A294="","",IF(AND($C294&lt;&gt;"",$C294&lt;TODAY(),OR($I294="",$I294&lt;$C294)),"APPUNTAMENTO SALTATO",IF(AND($C294&lt;&gt;"",$C294-TODAY()=1),"CONFERMA DOMANI",IF(AND($C294&lt;&gt;"",$C294-TODAY()=IMPOSTAZIONI!$C$8),"CHIAMA PER CONFERMA",IF(AND($C294&lt;&gt;"",$C294&gt;=TODAY()),"",IF($E294="Sospesa","",IF($E294="Persa","RECUPERA CON INCENTIVO",IF(AND($I294&lt;&gt;"",TODAY()&gt;=EDATE($I294,IMPOSTAZIONI!$C$10)),"RECUPERA CON INCENTIVO",IF($E294="Mantenimento",IF(AND($I294&lt;&gt;"",TODAY()-$I294&gt;=IMPOSTAZIONI!$C$9),"RICHIAMO MANTENIMENTO",""),IF($E294="In ciclo",IF(N($D294)&gt;=IMPOSTAZIONI!$C$5,"ULTIMA SEDUTA",IF(AND($I294&lt;&gt;"",TODAY()-$I294&gt;IMPOSTAZIONI!$C$7),"FUORI FINESTRA","PRENDI APPUNTAMENTO")),IF($E294="Da contattare","PRENDI APPUNTAMENTO","")))))))))))</f>
        <v/>
      </c>
      <c r="T294" s="17">
        <f>IF($S294="","",IFERROR(MATCH($S294,IMPOSTAZIONI!$F$5:$F$12,0),9)*100000000+(9999-MIN(9999,ROUND(N($O294)/100,0)))*10000+ROW())</f>
        <v/>
      </c>
    </row>
    <row r="295">
      <c r="A295" s="11" t="n"/>
      <c r="B295" s="12">
        <f>IF($S295="","",IFERROR(MATCH($S295,IMPOSTAZIONI!$F$5:$F$12,0),9)&amp;" · "&amp;$S295)</f>
        <v/>
      </c>
      <c r="C295" s="13" t="n"/>
      <c r="D295" s="14" t="n"/>
      <c r="E295" s="11" t="n"/>
      <c r="F295" s="15">
        <f>IF($A295="","",IF(LEN(IF(AND($C295&lt;&gt;"",$C295=TODAY())," · oggi in centro","")&amp;IF(AND($C295&lt;&gt;"",$C295&gt;=TODAY(),N($D295)+1&gt;=IMPOSTAZIONI!$C$5)," · ultima del ciclo, proponi il mantenimento","")&amp;IF(AND($C295&lt;&gt;"",$C295&gt;=TODAY(),$I295&lt;&gt;"",$C295-$I295&lt;IMPOSTAZIONI!$C$6)," · rientro anticipato, meno di "&amp;IMPOSTAZIONI!$C$6&amp;" giorni","")&amp;IF(AND($C295&lt;&gt;"",$C295&gt;=TODAY(),$I295&lt;&gt;"",$C295-$I295&gt;IMPOSTAZIONI!$C$7)," · rientro oltre "&amp;IMPOSTAZIONI!$C$7&amp;" giorni",""))=0,"",MID(IF(AND($C295&lt;&gt;"",$C295=TODAY())," · oggi in centro","")&amp;IF(AND($C295&lt;&gt;"",$C295&gt;=TODAY(),N($D295)+1&gt;=IMPOSTAZIONI!$C$5)," · ultima del ciclo, proponi il mantenimento","")&amp;IF(AND($C295&lt;&gt;"",$C295&gt;=TODAY(),$I295&lt;&gt;"",$C295-$I295&lt;IMPOSTAZIONI!$C$6)," · rientro anticipato, meno di "&amp;IMPOSTAZIONI!$C$6&amp;" giorni","")&amp;IF(AND($C295&lt;&gt;"",$C295&gt;=TODAY(),$I295&lt;&gt;"",$C295-$I295&gt;IMPOSTAZIONI!$C$7)," · rientro oltre "&amp;IMPOSTAZIONI!$C$7&amp;" giorni",""),4,300)))</f>
        <v/>
      </c>
      <c r="G295" s="16" t="n"/>
      <c r="H295" s="11" t="n"/>
      <c r="I295" s="13" t="n"/>
      <c r="J295" s="17">
        <f>IF($I295="","",TODAY()-$I295)</f>
        <v/>
      </c>
      <c r="K295" s="17">
        <f>IF($C295="","",$C295-TODAY())</f>
        <v/>
      </c>
      <c r="L295" s="15">
        <f>IF($A295="","",N($D295)&amp;"/"&amp;IMPOSTAZIONI!$C$5)</f>
        <v/>
      </c>
      <c r="M295" s="15">
        <f>IF($S295="","",IF($S295="RECUPERA CON INCENTIVO",INCENTIVI!$C$7,IF($S295="RICHIAMO MANTENIMENTO",INCENTIVI!$C$6,IF(OR($S295="FUORI FINESTRA",$S295="ULTIMA SEDUTA"),INCENTIVI!$C$5,""))))</f>
        <v/>
      </c>
      <c r="N295" s="18" t="n"/>
      <c r="O295" s="19">
        <f>IF($A295="","",N($D295)*N($N295))</f>
        <v/>
      </c>
      <c r="P295" s="19">
        <f>IF($A295="","",MAX(0,(IMPOSTAZIONI!$C$5-N($D295))*N($N295)))</f>
        <v/>
      </c>
      <c r="Q295" s="13" t="n"/>
      <c r="R295" s="11" t="n"/>
      <c r="S295" s="15">
        <f>IF($A295="","",IF(AND($C295&lt;&gt;"",$C295&lt;TODAY(),OR($I295="",$I295&lt;$C295)),"APPUNTAMENTO SALTATO",IF(AND($C295&lt;&gt;"",$C295-TODAY()=1),"CONFERMA DOMANI",IF(AND($C295&lt;&gt;"",$C295-TODAY()=IMPOSTAZIONI!$C$8),"CHIAMA PER CONFERMA",IF(AND($C295&lt;&gt;"",$C295&gt;=TODAY()),"",IF($E295="Sospesa","",IF($E295="Persa","RECUPERA CON INCENTIVO",IF(AND($I295&lt;&gt;"",TODAY()&gt;=EDATE($I295,IMPOSTAZIONI!$C$10)),"RECUPERA CON INCENTIVO",IF($E295="Mantenimento",IF(AND($I295&lt;&gt;"",TODAY()-$I295&gt;=IMPOSTAZIONI!$C$9),"RICHIAMO MANTENIMENTO",""),IF($E295="In ciclo",IF(N($D295)&gt;=IMPOSTAZIONI!$C$5,"ULTIMA SEDUTA",IF(AND($I295&lt;&gt;"",TODAY()-$I295&gt;IMPOSTAZIONI!$C$7),"FUORI FINESTRA","PRENDI APPUNTAMENTO")),IF($E295="Da contattare","PRENDI APPUNTAMENTO","")))))))))))</f>
        <v/>
      </c>
      <c r="T295" s="17">
        <f>IF($S295="","",IFERROR(MATCH($S295,IMPOSTAZIONI!$F$5:$F$12,0),9)*100000000+(9999-MIN(9999,ROUND(N($O295)/100,0)))*10000+ROW())</f>
        <v/>
      </c>
    </row>
    <row r="296">
      <c r="A296" s="11" t="n"/>
      <c r="B296" s="12">
        <f>IF($S296="","",IFERROR(MATCH($S296,IMPOSTAZIONI!$F$5:$F$12,0),9)&amp;" · "&amp;$S296)</f>
        <v/>
      </c>
      <c r="C296" s="13" t="n"/>
      <c r="D296" s="14" t="n"/>
      <c r="E296" s="11" t="n"/>
      <c r="F296" s="15">
        <f>IF($A296="","",IF(LEN(IF(AND($C296&lt;&gt;"",$C296=TODAY())," · oggi in centro","")&amp;IF(AND($C296&lt;&gt;"",$C296&gt;=TODAY(),N($D296)+1&gt;=IMPOSTAZIONI!$C$5)," · ultima del ciclo, proponi il mantenimento","")&amp;IF(AND($C296&lt;&gt;"",$C296&gt;=TODAY(),$I296&lt;&gt;"",$C296-$I296&lt;IMPOSTAZIONI!$C$6)," · rientro anticipato, meno di "&amp;IMPOSTAZIONI!$C$6&amp;" giorni","")&amp;IF(AND($C296&lt;&gt;"",$C296&gt;=TODAY(),$I296&lt;&gt;"",$C296-$I296&gt;IMPOSTAZIONI!$C$7)," · rientro oltre "&amp;IMPOSTAZIONI!$C$7&amp;" giorni",""))=0,"",MID(IF(AND($C296&lt;&gt;"",$C296=TODAY())," · oggi in centro","")&amp;IF(AND($C296&lt;&gt;"",$C296&gt;=TODAY(),N($D296)+1&gt;=IMPOSTAZIONI!$C$5)," · ultima del ciclo, proponi il mantenimento","")&amp;IF(AND($C296&lt;&gt;"",$C296&gt;=TODAY(),$I296&lt;&gt;"",$C296-$I296&lt;IMPOSTAZIONI!$C$6)," · rientro anticipato, meno di "&amp;IMPOSTAZIONI!$C$6&amp;" giorni","")&amp;IF(AND($C296&lt;&gt;"",$C296&gt;=TODAY(),$I296&lt;&gt;"",$C296-$I296&gt;IMPOSTAZIONI!$C$7)," · rientro oltre "&amp;IMPOSTAZIONI!$C$7&amp;" giorni",""),4,300)))</f>
        <v/>
      </c>
      <c r="G296" s="16" t="n"/>
      <c r="H296" s="11" t="n"/>
      <c r="I296" s="13" t="n"/>
      <c r="J296" s="17">
        <f>IF($I296="","",TODAY()-$I296)</f>
        <v/>
      </c>
      <c r="K296" s="17">
        <f>IF($C296="","",$C296-TODAY())</f>
        <v/>
      </c>
      <c r="L296" s="15">
        <f>IF($A296="","",N($D296)&amp;"/"&amp;IMPOSTAZIONI!$C$5)</f>
        <v/>
      </c>
      <c r="M296" s="15">
        <f>IF($S296="","",IF($S296="RECUPERA CON INCENTIVO",INCENTIVI!$C$7,IF($S296="RICHIAMO MANTENIMENTO",INCENTIVI!$C$6,IF(OR($S296="FUORI FINESTRA",$S296="ULTIMA SEDUTA"),INCENTIVI!$C$5,""))))</f>
        <v/>
      </c>
      <c r="N296" s="18" t="n"/>
      <c r="O296" s="19">
        <f>IF($A296="","",N($D296)*N($N296))</f>
        <v/>
      </c>
      <c r="P296" s="19">
        <f>IF($A296="","",MAX(0,(IMPOSTAZIONI!$C$5-N($D296))*N($N296)))</f>
        <v/>
      </c>
      <c r="Q296" s="13" t="n"/>
      <c r="R296" s="11" t="n"/>
      <c r="S296" s="15">
        <f>IF($A296="","",IF(AND($C296&lt;&gt;"",$C296&lt;TODAY(),OR($I296="",$I296&lt;$C296)),"APPUNTAMENTO SALTATO",IF(AND($C296&lt;&gt;"",$C296-TODAY()=1),"CONFERMA DOMANI",IF(AND($C296&lt;&gt;"",$C296-TODAY()=IMPOSTAZIONI!$C$8),"CHIAMA PER CONFERMA",IF(AND($C296&lt;&gt;"",$C296&gt;=TODAY()),"",IF($E296="Sospesa","",IF($E296="Persa","RECUPERA CON INCENTIVO",IF(AND($I296&lt;&gt;"",TODAY()&gt;=EDATE($I296,IMPOSTAZIONI!$C$10)),"RECUPERA CON INCENTIVO",IF($E296="Mantenimento",IF(AND($I296&lt;&gt;"",TODAY()-$I296&gt;=IMPOSTAZIONI!$C$9),"RICHIAMO MANTENIMENTO",""),IF($E296="In ciclo",IF(N($D296)&gt;=IMPOSTAZIONI!$C$5,"ULTIMA SEDUTA",IF(AND($I296&lt;&gt;"",TODAY()-$I296&gt;IMPOSTAZIONI!$C$7),"FUORI FINESTRA","PRENDI APPUNTAMENTO")),IF($E296="Da contattare","PRENDI APPUNTAMENTO","")))))))))))</f>
        <v/>
      </c>
      <c r="T296" s="17">
        <f>IF($S296="","",IFERROR(MATCH($S296,IMPOSTAZIONI!$F$5:$F$12,0),9)*100000000+(9999-MIN(9999,ROUND(N($O296)/100,0)))*10000+ROW())</f>
        <v/>
      </c>
    </row>
    <row r="297">
      <c r="A297" s="11" t="n"/>
      <c r="B297" s="12">
        <f>IF($S297="","",IFERROR(MATCH($S297,IMPOSTAZIONI!$F$5:$F$12,0),9)&amp;" · "&amp;$S297)</f>
        <v/>
      </c>
      <c r="C297" s="13" t="n"/>
      <c r="D297" s="14" t="n"/>
      <c r="E297" s="11" t="n"/>
      <c r="F297" s="15">
        <f>IF($A297="","",IF(LEN(IF(AND($C297&lt;&gt;"",$C297=TODAY())," · oggi in centro","")&amp;IF(AND($C297&lt;&gt;"",$C297&gt;=TODAY(),N($D297)+1&gt;=IMPOSTAZIONI!$C$5)," · ultima del ciclo, proponi il mantenimento","")&amp;IF(AND($C297&lt;&gt;"",$C297&gt;=TODAY(),$I297&lt;&gt;"",$C297-$I297&lt;IMPOSTAZIONI!$C$6)," · rientro anticipato, meno di "&amp;IMPOSTAZIONI!$C$6&amp;" giorni","")&amp;IF(AND($C297&lt;&gt;"",$C297&gt;=TODAY(),$I297&lt;&gt;"",$C297-$I297&gt;IMPOSTAZIONI!$C$7)," · rientro oltre "&amp;IMPOSTAZIONI!$C$7&amp;" giorni",""))=0,"",MID(IF(AND($C297&lt;&gt;"",$C297=TODAY())," · oggi in centro","")&amp;IF(AND($C297&lt;&gt;"",$C297&gt;=TODAY(),N($D297)+1&gt;=IMPOSTAZIONI!$C$5)," · ultima del ciclo, proponi il mantenimento","")&amp;IF(AND($C297&lt;&gt;"",$C297&gt;=TODAY(),$I297&lt;&gt;"",$C297-$I297&lt;IMPOSTAZIONI!$C$6)," · rientro anticipato, meno di "&amp;IMPOSTAZIONI!$C$6&amp;" giorni","")&amp;IF(AND($C297&lt;&gt;"",$C297&gt;=TODAY(),$I297&lt;&gt;"",$C297-$I297&gt;IMPOSTAZIONI!$C$7)," · rientro oltre "&amp;IMPOSTAZIONI!$C$7&amp;" giorni",""),4,300)))</f>
        <v/>
      </c>
      <c r="G297" s="16" t="n"/>
      <c r="H297" s="11" t="n"/>
      <c r="I297" s="13" t="n"/>
      <c r="J297" s="17">
        <f>IF($I297="","",TODAY()-$I297)</f>
        <v/>
      </c>
      <c r="K297" s="17">
        <f>IF($C297="","",$C297-TODAY())</f>
        <v/>
      </c>
      <c r="L297" s="15">
        <f>IF($A297="","",N($D297)&amp;"/"&amp;IMPOSTAZIONI!$C$5)</f>
        <v/>
      </c>
      <c r="M297" s="15">
        <f>IF($S297="","",IF($S297="RECUPERA CON INCENTIVO",INCENTIVI!$C$7,IF($S297="RICHIAMO MANTENIMENTO",INCENTIVI!$C$6,IF(OR($S297="FUORI FINESTRA",$S297="ULTIMA SEDUTA"),INCENTIVI!$C$5,""))))</f>
        <v/>
      </c>
      <c r="N297" s="18" t="n"/>
      <c r="O297" s="19">
        <f>IF($A297="","",N($D297)*N($N297))</f>
        <v/>
      </c>
      <c r="P297" s="19">
        <f>IF($A297="","",MAX(0,(IMPOSTAZIONI!$C$5-N($D297))*N($N297)))</f>
        <v/>
      </c>
      <c r="Q297" s="13" t="n"/>
      <c r="R297" s="11" t="n"/>
      <c r="S297" s="15">
        <f>IF($A297="","",IF(AND($C297&lt;&gt;"",$C297&lt;TODAY(),OR($I297="",$I297&lt;$C297)),"APPUNTAMENTO SALTATO",IF(AND($C297&lt;&gt;"",$C297-TODAY()=1),"CONFERMA DOMANI",IF(AND($C297&lt;&gt;"",$C297-TODAY()=IMPOSTAZIONI!$C$8),"CHIAMA PER CONFERMA",IF(AND($C297&lt;&gt;"",$C297&gt;=TODAY()),"",IF($E297="Sospesa","",IF($E297="Persa","RECUPERA CON INCENTIVO",IF(AND($I297&lt;&gt;"",TODAY()&gt;=EDATE($I297,IMPOSTAZIONI!$C$10)),"RECUPERA CON INCENTIVO",IF($E297="Mantenimento",IF(AND($I297&lt;&gt;"",TODAY()-$I297&gt;=IMPOSTAZIONI!$C$9),"RICHIAMO MANTENIMENTO",""),IF($E297="In ciclo",IF(N($D297)&gt;=IMPOSTAZIONI!$C$5,"ULTIMA SEDUTA",IF(AND($I297&lt;&gt;"",TODAY()-$I297&gt;IMPOSTAZIONI!$C$7),"FUORI FINESTRA","PRENDI APPUNTAMENTO")),IF($E297="Da contattare","PRENDI APPUNTAMENTO","")))))))))))</f>
        <v/>
      </c>
      <c r="T297" s="17">
        <f>IF($S297="","",IFERROR(MATCH($S297,IMPOSTAZIONI!$F$5:$F$12,0),9)*100000000+(9999-MIN(9999,ROUND(N($O297)/100,0)))*10000+ROW())</f>
        <v/>
      </c>
    </row>
    <row r="298">
      <c r="A298" s="11" t="n"/>
      <c r="B298" s="12">
        <f>IF($S298="","",IFERROR(MATCH($S298,IMPOSTAZIONI!$F$5:$F$12,0),9)&amp;" · "&amp;$S298)</f>
        <v/>
      </c>
      <c r="C298" s="13" t="n"/>
      <c r="D298" s="14" t="n"/>
      <c r="E298" s="11" t="n"/>
      <c r="F298" s="15">
        <f>IF($A298="","",IF(LEN(IF(AND($C298&lt;&gt;"",$C298=TODAY())," · oggi in centro","")&amp;IF(AND($C298&lt;&gt;"",$C298&gt;=TODAY(),N($D298)+1&gt;=IMPOSTAZIONI!$C$5)," · ultima del ciclo, proponi il mantenimento","")&amp;IF(AND($C298&lt;&gt;"",$C298&gt;=TODAY(),$I298&lt;&gt;"",$C298-$I298&lt;IMPOSTAZIONI!$C$6)," · rientro anticipato, meno di "&amp;IMPOSTAZIONI!$C$6&amp;" giorni","")&amp;IF(AND($C298&lt;&gt;"",$C298&gt;=TODAY(),$I298&lt;&gt;"",$C298-$I298&gt;IMPOSTAZIONI!$C$7)," · rientro oltre "&amp;IMPOSTAZIONI!$C$7&amp;" giorni",""))=0,"",MID(IF(AND($C298&lt;&gt;"",$C298=TODAY())," · oggi in centro","")&amp;IF(AND($C298&lt;&gt;"",$C298&gt;=TODAY(),N($D298)+1&gt;=IMPOSTAZIONI!$C$5)," · ultima del ciclo, proponi il mantenimento","")&amp;IF(AND($C298&lt;&gt;"",$C298&gt;=TODAY(),$I298&lt;&gt;"",$C298-$I298&lt;IMPOSTAZIONI!$C$6)," · rientro anticipato, meno di "&amp;IMPOSTAZIONI!$C$6&amp;" giorni","")&amp;IF(AND($C298&lt;&gt;"",$C298&gt;=TODAY(),$I298&lt;&gt;"",$C298-$I298&gt;IMPOSTAZIONI!$C$7)," · rientro oltre "&amp;IMPOSTAZIONI!$C$7&amp;" giorni",""),4,300)))</f>
        <v/>
      </c>
      <c r="G298" s="16" t="n"/>
      <c r="H298" s="11" t="n"/>
      <c r="I298" s="13" t="n"/>
      <c r="J298" s="17">
        <f>IF($I298="","",TODAY()-$I298)</f>
        <v/>
      </c>
      <c r="K298" s="17">
        <f>IF($C298="","",$C298-TODAY())</f>
        <v/>
      </c>
      <c r="L298" s="15">
        <f>IF($A298="","",N($D298)&amp;"/"&amp;IMPOSTAZIONI!$C$5)</f>
        <v/>
      </c>
      <c r="M298" s="15">
        <f>IF($S298="","",IF($S298="RECUPERA CON INCENTIVO",INCENTIVI!$C$7,IF($S298="RICHIAMO MANTENIMENTO",INCENTIVI!$C$6,IF(OR($S298="FUORI FINESTRA",$S298="ULTIMA SEDUTA"),INCENTIVI!$C$5,""))))</f>
        <v/>
      </c>
      <c r="N298" s="18" t="n"/>
      <c r="O298" s="19">
        <f>IF($A298="","",N($D298)*N($N298))</f>
        <v/>
      </c>
      <c r="P298" s="19">
        <f>IF($A298="","",MAX(0,(IMPOSTAZIONI!$C$5-N($D298))*N($N298)))</f>
        <v/>
      </c>
      <c r="Q298" s="13" t="n"/>
      <c r="R298" s="11" t="n"/>
      <c r="S298" s="15">
        <f>IF($A298="","",IF(AND($C298&lt;&gt;"",$C298&lt;TODAY(),OR($I298="",$I298&lt;$C298)),"APPUNTAMENTO SALTATO",IF(AND($C298&lt;&gt;"",$C298-TODAY()=1),"CONFERMA DOMANI",IF(AND($C298&lt;&gt;"",$C298-TODAY()=IMPOSTAZIONI!$C$8),"CHIAMA PER CONFERMA",IF(AND($C298&lt;&gt;"",$C298&gt;=TODAY()),"",IF($E298="Sospesa","",IF($E298="Persa","RECUPERA CON INCENTIVO",IF(AND($I298&lt;&gt;"",TODAY()&gt;=EDATE($I298,IMPOSTAZIONI!$C$10)),"RECUPERA CON INCENTIVO",IF($E298="Mantenimento",IF(AND($I298&lt;&gt;"",TODAY()-$I298&gt;=IMPOSTAZIONI!$C$9),"RICHIAMO MANTENIMENTO",""),IF($E298="In ciclo",IF(N($D298)&gt;=IMPOSTAZIONI!$C$5,"ULTIMA SEDUTA",IF(AND($I298&lt;&gt;"",TODAY()-$I298&gt;IMPOSTAZIONI!$C$7),"FUORI FINESTRA","PRENDI APPUNTAMENTO")),IF($E298="Da contattare","PRENDI APPUNTAMENTO","")))))))))))</f>
        <v/>
      </c>
      <c r="T298" s="17">
        <f>IF($S298="","",IFERROR(MATCH($S298,IMPOSTAZIONI!$F$5:$F$12,0),9)*100000000+(9999-MIN(9999,ROUND(N($O298)/100,0)))*10000+ROW())</f>
        <v/>
      </c>
    </row>
    <row r="299">
      <c r="A299" s="11" t="n"/>
      <c r="B299" s="12">
        <f>IF($S299="","",IFERROR(MATCH($S299,IMPOSTAZIONI!$F$5:$F$12,0),9)&amp;" · "&amp;$S299)</f>
        <v/>
      </c>
      <c r="C299" s="13" t="n"/>
      <c r="D299" s="14" t="n"/>
      <c r="E299" s="11" t="n"/>
      <c r="F299" s="15">
        <f>IF($A299="","",IF(LEN(IF(AND($C299&lt;&gt;"",$C299=TODAY())," · oggi in centro","")&amp;IF(AND($C299&lt;&gt;"",$C299&gt;=TODAY(),N($D299)+1&gt;=IMPOSTAZIONI!$C$5)," · ultima del ciclo, proponi il mantenimento","")&amp;IF(AND($C299&lt;&gt;"",$C299&gt;=TODAY(),$I299&lt;&gt;"",$C299-$I299&lt;IMPOSTAZIONI!$C$6)," · rientro anticipato, meno di "&amp;IMPOSTAZIONI!$C$6&amp;" giorni","")&amp;IF(AND($C299&lt;&gt;"",$C299&gt;=TODAY(),$I299&lt;&gt;"",$C299-$I299&gt;IMPOSTAZIONI!$C$7)," · rientro oltre "&amp;IMPOSTAZIONI!$C$7&amp;" giorni",""))=0,"",MID(IF(AND($C299&lt;&gt;"",$C299=TODAY())," · oggi in centro","")&amp;IF(AND($C299&lt;&gt;"",$C299&gt;=TODAY(),N($D299)+1&gt;=IMPOSTAZIONI!$C$5)," · ultima del ciclo, proponi il mantenimento","")&amp;IF(AND($C299&lt;&gt;"",$C299&gt;=TODAY(),$I299&lt;&gt;"",$C299-$I299&lt;IMPOSTAZIONI!$C$6)," · rientro anticipato, meno di "&amp;IMPOSTAZIONI!$C$6&amp;" giorni","")&amp;IF(AND($C299&lt;&gt;"",$C299&gt;=TODAY(),$I299&lt;&gt;"",$C299-$I299&gt;IMPOSTAZIONI!$C$7)," · rientro oltre "&amp;IMPOSTAZIONI!$C$7&amp;" giorni",""),4,300)))</f>
        <v/>
      </c>
      <c r="G299" s="16" t="n"/>
      <c r="H299" s="11" t="n"/>
      <c r="I299" s="13" t="n"/>
      <c r="J299" s="17">
        <f>IF($I299="","",TODAY()-$I299)</f>
        <v/>
      </c>
      <c r="K299" s="17">
        <f>IF($C299="","",$C299-TODAY())</f>
        <v/>
      </c>
      <c r="L299" s="15">
        <f>IF($A299="","",N($D299)&amp;"/"&amp;IMPOSTAZIONI!$C$5)</f>
        <v/>
      </c>
      <c r="M299" s="15">
        <f>IF($S299="","",IF($S299="RECUPERA CON INCENTIVO",INCENTIVI!$C$7,IF($S299="RICHIAMO MANTENIMENTO",INCENTIVI!$C$6,IF(OR($S299="FUORI FINESTRA",$S299="ULTIMA SEDUTA"),INCENTIVI!$C$5,""))))</f>
        <v/>
      </c>
      <c r="N299" s="18" t="n"/>
      <c r="O299" s="19">
        <f>IF($A299="","",N($D299)*N($N299))</f>
        <v/>
      </c>
      <c r="P299" s="19">
        <f>IF($A299="","",MAX(0,(IMPOSTAZIONI!$C$5-N($D299))*N($N299)))</f>
        <v/>
      </c>
      <c r="Q299" s="13" t="n"/>
      <c r="R299" s="11" t="n"/>
      <c r="S299" s="15">
        <f>IF($A299="","",IF(AND($C299&lt;&gt;"",$C299&lt;TODAY(),OR($I299="",$I299&lt;$C299)),"APPUNTAMENTO SALTATO",IF(AND($C299&lt;&gt;"",$C299-TODAY()=1),"CONFERMA DOMANI",IF(AND($C299&lt;&gt;"",$C299-TODAY()=IMPOSTAZIONI!$C$8),"CHIAMA PER CONFERMA",IF(AND($C299&lt;&gt;"",$C299&gt;=TODAY()),"",IF($E299="Sospesa","",IF($E299="Persa","RECUPERA CON INCENTIVO",IF(AND($I299&lt;&gt;"",TODAY()&gt;=EDATE($I299,IMPOSTAZIONI!$C$10)),"RECUPERA CON INCENTIVO",IF($E299="Mantenimento",IF(AND($I299&lt;&gt;"",TODAY()-$I299&gt;=IMPOSTAZIONI!$C$9),"RICHIAMO MANTENIMENTO",""),IF($E299="In ciclo",IF(N($D299)&gt;=IMPOSTAZIONI!$C$5,"ULTIMA SEDUTA",IF(AND($I299&lt;&gt;"",TODAY()-$I299&gt;IMPOSTAZIONI!$C$7),"FUORI FINESTRA","PRENDI APPUNTAMENTO")),IF($E299="Da contattare","PRENDI APPUNTAMENTO","")))))))))))</f>
        <v/>
      </c>
      <c r="T299" s="17">
        <f>IF($S299="","",IFERROR(MATCH($S299,IMPOSTAZIONI!$F$5:$F$12,0),9)*100000000+(9999-MIN(9999,ROUND(N($O299)/100,0)))*10000+ROW())</f>
        <v/>
      </c>
    </row>
    <row r="300">
      <c r="A300" s="11" t="n"/>
      <c r="B300" s="12">
        <f>IF($S300="","",IFERROR(MATCH($S300,IMPOSTAZIONI!$F$5:$F$12,0),9)&amp;" · "&amp;$S300)</f>
        <v/>
      </c>
      <c r="C300" s="13" t="n"/>
      <c r="D300" s="14" t="n"/>
      <c r="E300" s="11" t="n"/>
      <c r="F300" s="15">
        <f>IF($A300="","",IF(LEN(IF(AND($C300&lt;&gt;"",$C300=TODAY())," · oggi in centro","")&amp;IF(AND($C300&lt;&gt;"",$C300&gt;=TODAY(),N($D300)+1&gt;=IMPOSTAZIONI!$C$5)," · ultima del ciclo, proponi il mantenimento","")&amp;IF(AND($C300&lt;&gt;"",$C300&gt;=TODAY(),$I300&lt;&gt;"",$C300-$I300&lt;IMPOSTAZIONI!$C$6)," · rientro anticipato, meno di "&amp;IMPOSTAZIONI!$C$6&amp;" giorni","")&amp;IF(AND($C300&lt;&gt;"",$C300&gt;=TODAY(),$I300&lt;&gt;"",$C300-$I300&gt;IMPOSTAZIONI!$C$7)," · rientro oltre "&amp;IMPOSTAZIONI!$C$7&amp;" giorni",""))=0,"",MID(IF(AND($C300&lt;&gt;"",$C300=TODAY())," · oggi in centro","")&amp;IF(AND($C300&lt;&gt;"",$C300&gt;=TODAY(),N($D300)+1&gt;=IMPOSTAZIONI!$C$5)," · ultima del ciclo, proponi il mantenimento","")&amp;IF(AND($C300&lt;&gt;"",$C300&gt;=TODAY(),$I300&lt;&gt;"",$C300-$I300&lt;IMPOSTAZIONI!$C$6)," · rientro anticipato, meno di "&amp;IMPOSTAZIONI!$C$6&amp;" giorni","")&amp;IF(AND($C300&lt;&gt;"",$C300&gt;=TODAY(),$I300&lt;&gt;"",$C300-$I300&gt;IMPOSTAZIONI!$C$7)," · rientro oltre "&amp;IMPOSTAZIONI!$C$7&amp;" giorni",""),4,300)))</f>
        <v/>
      </c>
      <c r="G300" s="16" t="n"/>
      <c r="H300" s="11" t="n"/>
      <c r="I300" s="13" t="n"/>
      <c r="J300" s="17">
        <f>IF($I300="","",TODAY()-$I300)</f>
        <v/>
      </c>
      <c r="K300" s="17">
        <f>IF($C300="","",$C300-TODAY())</f>
        <v/>
      </c>
      <c r="L300" s="15">
        <f>IF($A300="","",N($D300)&amp;"/"&amp;IMPOSTAZIONI!$C$5)</f>
        <v/>
      </c>
      <c r="M300" s="15">
        <f>IF($S300="","",IF($S300="RECUPERA CON INCENTIVO",INCENTIVI!$C$7,IF($S300="RICHIAMO MANTENIMENTO",INCENTIVI!$C$6,IF(OR($S300="FUORI FINESTRA",$S300="ULTIMA SEDUTA"),INCENTIVI!$C$5,""))))</f>
        <v/>
      </c>
      <c r="N300" s="18" t="n"/>
      <c r="O300" s="19">
        <f>IF($A300="","",N($D300)*N($N300))</f>
        <v/>
      </c>
      <c r="P300" s="19">
        <f>IF($A300="","",MAX(0,(IMPOSTAZIONI!$C$5-N($D300))*N($N300)))</f>
        <v/>
      </c>
      <c r="Q300" s="13" t="n"/>
      <c r="R300" s="11" t="n"/>
      <c r="S300" s="15">
        <f>IF($A300="","",IF(AND($C300&lt;&gt;"",$C300&lt;TODAY(),OR($I300="",$I300&lt;$C300)),"APPUNTAMENTO SALTATO",IF(AND($C300&lt;&gt;"",$C300-TODAY()=1),"CONFERMA DOMANI",IF(AND($C300&lt;&gt;"",$C300-TODAY()=IMPOSTAZIONI!$C$8),"CHIAMA PER CONFERMA",IF(AND($C300&lt;&gt;"",$C300&gt;=TODAY()),"",IF($E300="Sospesa","",IF($E300="Persa","RECUPERA CON INCENTIVO",IF(AND($I300&lt;&gt;"",TODAY()&gt;=EDATE($I300,IMPOSTAZIONI!$C$10)),"RECUPERA CON INCENTIVO",IF($E300="Mantenimento",IF(AND($I300&lt;&gt;"",TODAY()-$I300&gt;=IMPOSTAZIONI!$C$9),"RICHIAMO MANTENIMENTO",""),IF($E300="In ciclo",IF(N($D300)&gt;=IMPOSTAZIONI!$C$5,"ULTIMA SEDUTA",IF(AND($I300&lt;&gt;"",TODAY()-$I300&gt;IMPOSTAZIONI!$C$7),"FUORI FINESTRA","PRENDI APPUNTAMENTO")),IF($E300="Da contattare","PRENDI APPUNTAMENTO","")))))))))))</f>
        <v/>
      </c>
      <c r="T300" s="17">
        <f>IF($S300="","",IFERROR(MATCH($S300,IMPOSTAZIONI!$F$5:$F$12,0),9)*100000000+(9999-MIN(9999,ROUND(N($O300)/100,0)))*10000+ROW())</f>
        <v/>
      </c>
    </row>
    <row r="301">
      <c r="A301" s="11" t="n"/>
      <c r="B301" s="12">
        <f>IF($S301="","",IFERROR(MATCH($S301,IMPOSTAZIONI!$F$5:$F$12,0),9)&amp;" · "&amp;$S301)</f>
        <v/>
      </c>
      <c r="C301" s="13" t="n"/>
      <c r="D301" s="14" t="n"/>
      <c r="E301" s="11" t="n"/>
      <c r="F301" s="15">
        <f>IF($A301="","",IF(LEN(IF(AND($C301&lt;&gt;"",$C301=TODAY())," · oggi in centro","")&amp;IF(AND($C301&lt;&gt;"",$C301&gt;=TODAY(),N($D301)+1&gt;=IMPOSTAZIONI!$C$5)," · ultima del ciclo, proponi il mantenimento","")&amp;IF(AND($C301&lt;&gt;"",$C301&gt;=TODAY(),$I301&lt;&gt;"",$C301-$I301&lt;IMPOSTAZIONI!$C$6)," · rientro anticipato, meno di "&amp;IMPOSTAZIONI!$C$6&amp;" giorni","")&amp;IF(AND($C301&lt;&gt;"",$C301&gt;=TODAY(),$I301&lt;&gt;"",$C301-$I301&gt;IMPOSTAZIONI!$C$7)," · rientro oltre "&amp;IMPOSTAZIONI!$C$7&amp;" giorni",""))=0,"",MID(IF(AND($C301&lt;&gt;"",$C301=TODAY())," · oggi in centro","")&amp;IF(AND($C301&lt;&gt;"",$C301&gt;=TODAY(),N($D301)+1&gt;=IMPOSTAZIONI!$C$5)," · ultima del ciclo, proponi il mantenimento","")&amp;IF(AND($C301&lt;&gt;"",$C301&gt;=TODAY(),$I301&lt;&gt;"",$C301-$I301&lt;IMPOSTAZIONI!$C$6)," · rientro anticipato, meno di "&amp;IMPOSTAZIONI!$C$6&amp;" giorni","")&amp;IF(AND($C301&lt;&gt;"",$C301&gt;=TODAY(),$I301&lt;&gt;"",$C301-$I301&gt;IMPOSTAZIONI!$C$7)," · rientro oltre "&amp;IMPOSTAZIONI!$C$7&amp;" giorni",""),4,300)))</f>
        <v/>
      </c>
      <c r="G301" s="16" t="n"/>
      <c r="H301" s="11" t="n"/>
      <c r="I301" s="13" t="n"/>
      <c r="J301" s="17">
        <f>IF($I301="","",TODAY()-$I301)</f>
        <v/>
      </c>
      <c r="K301" s="17">
        <f>IF($C301="","",$C301-TODAY())</f>
        <v/>
      </c>
      <c r="L301" s="15">
        <f>IF($A301="","",N($D301)&amp;"/"&amp;IMPOSTAZIONI!$C$5)</f>
        <v/>
      </c>
      <c r="M301" s="15">
        <f>IF($S301="","",IF($S301="RECUPERA CON INCENTIVO",INCENTIVI!$C$7,IF($S301="RICHIAMO MANTENIMENTO",INCENTIVI!$C$6,IF(OR($S301="FUORI FINESTRA",$S301="ULTIMA SEDUTA"),INCENTIVI!$C$5,""))))</f>
        <v/>
      </c>
      <c r="N301" s="18" t="n"/>
      <c r="O301" s="19">
        <f>IF($A301="","",N($D301)*N($N301))</f>
        <v/>
      </c>
      <c r="P301" s="19">
        <f>IF($A301="","",MAX(0,(IMPOSTAZIONI!$C$5-N($D301))*N($N301)))</f>
        <v/>
      </c>
      <c r="Q301" s="13" t="n"/>
      <c r="R301" s="11" t="n"/>
      <c r="S301" s="15">
        <f>IF($A301="","",IF(AND($C301&lt;&gt;"",$C301&lt;TODAY(),OR($I301="",$I301&lt;$C301)),"APPUNTAMENTO SALTATO",IF(AND($C301&lt;&gt;"",$C301-TODAY()=1),"CONFERMA DOMANI",IF(AND($C301&lt;&gt;"",$C301-TODAY()=IMPOSTAZIONI!$C$8),"CHIAMA PER CONFERMA",IF(AND($C301&lt;&gt;"",$C301&gt;=TODAY()),"",IF($E301="Sospesa","",IF($E301="Persa","RECUPERA CON INCENTIVO",IF(AND($I301&lt;&gt;"",TODAY()&gt;=EDATE($I301,IMPOSTAZIONI!$C$10)),"RECUPERA CON INCENTIVO",IF($E301="Mantenimento",IF(AND($I301&lt;&gt;"",TODAY()-$I301&gt;=IMPOSTAZIONI!$C$9),"RICHIAMO MANTENIMENTO",""),IF($E301="In ciclo",IF(N($D301)&gt;=IMPOSTAZIONI!$C$5,"ULTIMA SEDUTA",IF(AND($I301&lt;&gt;"",TODAY()-$I301&gt;IMPOSTAZIONI!$C$7),"FUORI FINESTRA","PRENDI APPUNTAMENTO")),IF($E301="Da contattare","PRENDI APPUNTAMENTO","")))))))))))</f>
        <v/>
      </c>
      <c r="T301" s="17">
        <f>IF($S301="","",IFERROR(MATCH($S301,IMPOSTAZIONI!$F$5:$F$12,0),9)*100000000+(9999-MIN(9999,ROUND(N($O301)/100,0)))*10000+ROW())</f>
        <v/>
      </c>
    </row>
    <row r="302">
      <c r="A302" s="11" t="n"/>
      <c r="B302" s="12">
        <f>IF($S302="","",IFERROR(MATCH($S302,IMPOSTAZIONI!$F$5:$F$12,0),9)&amp;" · "&amp;$S302)</f>
        <v/>
      </c>
      <c r="C302" s="13" t="n"/>
      <c r="D302" s="14" t="n"/>
      <c r="E302" s="11" t="n"/>
      <c r="F302" s="15">
        <f>IF($A302="","",IF(LEN(IF(AND($C302&lt;&gt;"",$C302=TODAY())," · oggi in centro","")&amp;IF(AND($C302&lt;&gt;"",$C302&gt;=TODAY(),N($D302)+1&gt;=IMPOSTAZIONI!$C$5)," · ultima del ciclo, proponi il mantenimento","")&amp;IF(AND($C302&lt;&gt;"",$C302&gt;=TODAY(),$I302&lt;&gt;"",$C302-$I302&lt;IMPOSTAZIONI!$C$6)," · rientro anticipato, meno di "&amp;IMPOSTAZIONI!$C$6&amp;" giorni","")&amp;IF(AND($C302&lt;&gt;"",$C302&gt;=TODAY(),$I302&lt;&gt;"",$C302-$I302&gt;IMPOSTAZIONI!$C$7)," · rientro oltre "&amp;IMPOSTAZIONI!$C$7&amp;" giorni",""))=0,"",MID(IF(AND($C302&lt;&gt;"",$C302=TODAY())," · oggi in centro","")&amp;IF(AND($C302&lt;&gt;"",$C302&gt;=TODAY(),N($D302)+1&gt;=IMPOSTAZIONI!$C$5)," · ultima del ciclo, proponi il mantenimento","")&amp;IF(AND($C302&lt;&gt;"",$C302&gt;=TODAY(),$I302&lt;&gt;"",$C302-$I302&lt;IMPOSTAZIONI!$C$6)," · rientro anticipato, meno di "&amp;IMPOSTAZIONI!$C$6&amp;" giorni","")&amp;IF(AND($C302&lt;&gt;"",$C302&gt;=TODAY(),$I302&lt;&gt;"",$C302-$I302&gt;IMPOSTAZIONI!$C$7)," · rientro oltre "&amp;IMPOSTAZIONI!$C$7&amp;" giorni",""),4,300)))</f>
        <v/>
      </c>
      <c r="G302" s="16" t="n"/>
      <c r="H302" s="11" t="n"/>
      <c r="I302" s="13" t="n"/>
      <c r="J302" s="17">
        <f>IF($I302="","",TODAY()-$I302)</f>
        <v/>
      </c>
      <c r="K302" s="17">
        <f>IF($C302="","",$C302-TODAY())</f>
        <v/>
      </c>
      <c r="L302" s="15">
        <f>IF($A302="","",N($D302)&amp;"/"&amp;IMPOSTAZIONI!$C$5)</f>
        <v/>
      </c>
      <c r="M302" s="15">
        <f>IF($S302="","",IF($S302="RECUPERA CON INCENTIVO",INCENTIVI!$C$7,IF($S302="RICHIAMO MANTENIMENTO",INCENTIVI!$C$6,IF(OR($S302="FUORI FINESTRA",$S302="ULTIMA SEDUTA"),INCENTIVI!$C$5,""))))</f>
        <v/>
      </c>
      <c r="N302" s="18" t="n"/>
      <c r="O302" s="19">
        <f>IF($A302="","",N($D302)*N($N302))</f>
        <v/>
      </c>
      <c r="P302" s="19">
        <f>IF($A302="","",MAX(0,(IMPOSTAZIONI!$C$5-N($D302))*N($N302)))</f>
        <v/>
      </c>
      <c r="Q302" s="13" t="n"/>
      <c r="R302" s="11" t="n"/>
      <c r="S302" s="15">
        <f>IF($A302="","",IF(AND($C302&lt;&gt;"",$C302&lt;TODAY(),OR($I302="",$I302&lt;$C302)),"APPUNTAMENTO SALTATO",IF(AND($C302&lt;&gt;"",$C302-TODAY()=1),"CONFERMA DOMANI",IF(AND($C302&lt;&gt;"",$C302-TODAY()=IMPOSTAZIONI!$C$8),"CHIAMA PER CONFERMA",IF(AND($C302&lt;&gt;"",$C302&gt;=TODAY()),"",IF($E302="Sospesa","",IF($E302="Persa","RECUPERA CON INCENTIVO",IF(AND($I302&lt;&gt;"",TODAY()&gt;=EDATE($I302,IMPOSTAZIONI!$C$10)),"RECUPERA CON INCENTIVO",IF($E302="Mantenimento",IF(AND($I302&lt;&gt;"",TODAY()-$I302&gt;=IMPOSTAZIONI!$C$9),"RICHIAMO MANTENIMENTO",""),IF($E302="In ciclo",IF(N($D302)&gt;=IMPOSTAZIONI!$C$5,"ULTIMA SEDUTA",IF(AND($I302&lt;&gt;"",TODAY()-$I302&gt;IMPOSTAZIONI!$C$7),"FUORI FINESTRA","PRENDI APPUNTAMENTO")),IF($E302="Da contattare","PRENDI APPUNTAMENTO","")))))))))))</f>
        <v/>
      </c>
      <c r="T302" s="17">
        <f>IF($S302="","",IFERROR(MATCH($S302,IMPOSTAZIONI!$F$5:$F$12,0),9)*100000000+(9999-MIN(9999,ROUND(N($O302)/100,0)))*10000+ROW())</f>
        <v/>
      </c>
    </row>
    <row r="303">
      <c r="A303" s="11" t="n"/>
      <c r="B303" s="12">
        <f>IF($S303="","",IFERROR(MATCH($S303,IMPOSTAZIONI!$F$5:$F$12,0),9)&amp;" · "&amp;$S303)</f>
        <v/>
      </c>
      <c r="C303" s="13" t="n"/>
      <c r="D303" s="14" t="n"/>
      <c r="E303" s="11" t="n"/>
      <c r="F303" s="15">
        <f>IF($A303="","",IF(LEN(IF(AND($C303&lt;&gt;"",$C303=TODAY())," · oggi in centro","")&amp;IF(AND($C303&lt;&gt;"",$C303&gt;=TODAY(),N($D303)+1&gt;=IMPOSTAZIONI!$C$5)," · ultima del ciclo, proponi il mantenimento","")&amp;IF(AND($C303&lt;&gt;"",$C303&gt;=TODAY(),$I303&lt;&gt;"",$C303-$I303&lt;IMPOSTAZIONI!$C$6)," · rientro anticipato, meno di "&amp;IMPOSTAZIONI!$C$6&amp;" giorni","")&amp;IF(AND($C303&lt;&gt;"",$C303&gt;=TODAY(),$I303&lt;&gt;"",$C303-$I303&gt;IMPOSTAZIONI!$C$7)," · rientro oltre "&amp;IMPOSTAZIONI!$C$7&amp;" giorni",""))=0,"",MID(IF(AND($C303&lt;&gt;"",$C303=TODAY())," · oggi in centro","")&amp;IF(AND($C303&lt;&gt;"",$C303&gt;=TODAY(),N($D303)+1&gt;=IMPOSTAZIONI!$C$5)," · ultima del ciclo, proponi il mantenimento","")&amp;IF(AND($C303&lt;&gt;"",$C303&gt;=TODAY(),$I303&lt;&gt;"",$C303-$I303&lt;IMPOSTAZIONI!$C$6)," · rientro anticipato, meno di "&amp;IMPOSTAZIONI!$C$6&amp;" giorni","")&amp;IF(AND($C303&lt;&gt;"",$C303&gt;=TODAY(),$I303&lt;&gt;"",$C303-$I303&gt;IMPOSTAZIONI!$C$7)," · rientro oltre "&amp;IMPOSTAZIONI!$C$7&amp;" giorni",""),4,300)))</f>
        <v/>
      </c>
      <c r="G303" s="16" t="n"/>
      <c r="H303" s="11" t="n"/>
      <c r="I303" s="13" t="n"/>
      <c r="J303" s="17">
        <f>IF($I303="","",TODAY()-$I303)</f>
        <v/>
      </c>
      <c r="K303" s="17">
        <f>IF($C303="","",$C303-TODAY())</f>
        <v/>
      </c>
      <c r="L303" s="15">
        <f>IF($A303="","",N($D303)&amp;"/"&amp;IMPOSTAZIONI!$C$5)</f>
        <v/>
      </c>
      <c r="M303" s="15">
        <f>IF($S303="","",IF($S303="RECUPERA CON INCENTIVO",INCENTIVI!$C$7,IF($S303="RICHIAMO MANTENIMENTO",INCENTIVI!$C$6,IF(OR($S303="FUORI FINESTRA",$S303="ULTIMA SEDUTA"),INCENTIVI!$C$5,""))))</f>
        <v/>
      </c>
      <c r="N303" s="18" t="n"/>
      <c r="O303" s="19">
        <f>IF($A303="","",N($D303)*N($N303))</f>
        <v/>
      </c>
      <c r="P303" s="19">
        <f>IF($A303="","",MAX(0,(IMPOSTAZIONI!$C$5-N($D303))*N($N303)))</f>
        <v/>
      </c>
      <c r="Q303" s="13" t="n"/>
      <c r="R303" s="11" t="n"/>
      <c r="S303" s="15">
        <f>IF($A303="","",IF(AND($C303&lt;&gt;"",$C303&lt;TODAY(),OR($I303="",$I303&lt;$C303)),"APPUNTAMENTO SALTATO",IF(AND($C303&lt;&gt;"",$C303-TODAY()=1),"CONFERMA DOMANI",IF(AND($C303&lt;&gt;"",$C303-TODAY()=IMPOSTAZIONI!$C$8),"CHIAMA PER CONFERMA",IF(AND($C303&lt;&gt;"",$C303&gt;=TODAY()),"",IF($E303="Sospesa","",IF($E303="Persa","RECUPERA CON INCENTIVO",IF(AND($I303&lt;&gt;"",TODAY()&gt;=EDATE($I303,IMPOSTAZIONI!$C$10)),"RECUPERA CON INCENTIVO",IF($E303="Mantenimento",IF(AND($I303&lt;&gt;"",TODAY()-$I303&gt;=IMPOSTAZIONI!$C$9),"RICHIAMO MANTENIMENTO",""),IF($E303="In ciclo",IF(N($D303)&gt;=IMPOSTAZIONI!$C$5,"ULTIMA SEDUTA",IF(AND($I303&lt;&gt;"",TODAY()-$I303&gt;IMPOSTAZIONI!$C$7),"FUORI FINESTRA","PRENDI APPUNTAMENTO")),IF($E303="Da contattare","PRENDI APPUNTAMENTO","")))))))))))</f>
        <v/>
      </c>
      <c r="T303" s="17">
        <f>IF($S303="","",IFERROR(MATCH($S303,IMPOSTAZIONI!$F$5:$F$12,0),9)*100000000+(9999-MIN(9999,ROUND(N($O303)/100,0)))*10000+ROW())</f>
        <v/>
      </c>
    </row>
    <row r="304">
      <c r="A304" s="11" t="n"/>
      <c r="B304" s="12">
        <f>IF($S304="","",IFERROR(MATCH($S304,IMPOSTAZIONI!$F$5:$F$12,0),9)&amp;" · "&amp;$S304)</f>
        <v/>
      </c>
      <c r="C304" s="13" t="n"/>
      <c r="D304" s="14" t="n"/>
      <c r="E304" s="11" t="n"/>
      <c r="F304" s="15">
        <f>IF($A304="","",IF(LEN(IF(AND($C304&lt;&gt;"",$C304=TODAY())," · oggi in centro","")&amp;IF(AND($C304&lt;&gt;"",$C304&gt;=TODAY(),N($D304)+1&gt;=IMPOSTAZIONI!$C$5)," · ultima del ciclo, proponi il mantenimento","")&amp;IF(AND($C304&lt;&gt;"",$C304&gt;=TODAY(),$I304&lt;&gt;"",$C304-$I304&lt;IMPOSTAZIONI!$C$6)," · rientro anticipato, meno di "&amp;IMPOSTAZIONI!$C$6&amp;" giorni","")&amp;IF(AND($C304&lt;&gt;"",$C304&gt;=TODAY(),$I304&lt;&gt;"",$C304-$I304&gt;IMPOSTAZIONI!$C$7)," · rientro oltre "&amp;IMPOSTAZIONI!$C$7&amp;" giorni",""))=0,"",MID(IF(AND($C304&lt;&gt;"",$C304=TODAY())," · oggi in centro","")&amp;IF(AND($C304&lt;&gt;"",$C304&gt;=TODAY(),N($D304)+1&gt;=IMPOSTAZIONI!$C$5)," · ultima del ciclo, proponi il mantenimento","")&amp;IF(AND($C304&lt;&gt;"",$C304&gt;=TODAY(),$I304&lt;&gt;"",$C304-$I304&lt;IMPOSTAZIONI!$C$6)," · rientro anticipato, meno di "&amp;IMPOSTAZIONI!$C$6&amp;" giorni","")&amp;IF(AND($C304&lt;&gt;"",$C304&gt;=TODAY(),$I304&lt;&gt;"",$C304-$I304&gt;IMPOSTAZIONI!$C$7)," · rientro oltre "&amp;IMPOSTAZIONI!$C$7&amp;" giorni",""),4,300)))</f>
        <v/>
      </c>
      <c r="G304" s="16" t="n"/>
      <c r="H304" s="11" t="n"/>
      <c r="I304" s="13" t="n"/>
      <c r="J304" s="17">
        <f>IF($I304="","",TODAY()-$I304)</f>
        <v/>
      </c>
      <c r="K304" s="17">
        <f>IF($C304="","",$C304-TODAY())</f>
        <v/>
      </c>
      <c r="L304" s="15">
        <f>IF($A304="","",N($D304)&amp;"/"&amp;IMPOSTAZIONI!$C$5)</f>
        <v/>
      </c>
      <c r="M304" s="15">
        <f>IF($S304="","",IF($S304="RECUPERA CON INCENTIVO",INCENTIVI!$C$7,IF($S304="RICHIAMO MANTENIMENTO",INCENTIVI!$C$6,IF(OR($S304="FUORI FINESTRA",$S304="ULTIMA SEDUTA"),INCENTIVI!$C$5,""))))</f>
        <v/>
      </c>
      <c r="N304" s="18" t="n"/>
      <c r="O304" s="19">
        <f>IF($A304="","",N($D304)*N($N304))</f>
        <v/>
      </c>
      <c r="P304" s="19">
        <f>IF($A304="","",MAX(0,(IMPOSTAZIONI!$C$5-N($D304))*N($N304)))</f>
        <v/>
      </c>
      <c r="Q304" s="13" t="n"/>
      <c r="R304" s="11" t="n"/>
      <c r="S304" s="15">
        <f>IF($A304="","",IF(AND($C304&lt;&gt;"",$C304&lt;TODAY(),OR($I304="",$I304&lt;$C304)),"APPUNTAMENTO SALTATO",IF(AND($C304&lt;&gt;"",$C304-TODAY()=1),"CONFERMA DOMANI",IF(AND($C304&lt;&gt;"",$C304-TODAY()=IMPOSTAZIONI!$C$8),"CHIAMA PER CONFERMA",IF(AND($C304&lt;&gt;"",$C304&gt;=TODAY()),"",IF($E304="Sospesa","",IF($E304="Persa","RECUPERA CON INCENTIVO",IF(AND($I304&lt;&gt;"",TODAY()&gt;=EDATE($I304,IMPOSTAZIONI!$C$10)),"RECUPERA CON INCENTIVO",IF($E304="Mantenimento",IF(AND($I304&lt;&gt;"",TODAY()-$I304&gt;=IMPOSTAZIONI!$C$9),"RICHIAMO MANTENIMENTO",""),IF($E304="In ciclo",IF(N($D304)&gt;=IMPOSTAZIONI!$C$5,"ULTIMA SEDUTA",IF(AND($I304&lt;&gt;"",TODAY()-$I304&gt;IMPOSTAZIONI!$C$7),"FUORI FINESTRA","PRENDI APPUNTAMENTO")),IF($E304="Da contattare","PRENDI APPUNTAMENTO","")))))))))))</f>
        <v/>
      </c>
      <c r="T304" s="17">
        <f>IF($S304="","",IFERROR(MATCH($S304,IMPOSTAZIONI!$F$5:$F$12,0),9)*100000000+(9999-MIN(9999,ROUND(N($O304)/100,0)))*10000+ROW())</f>
        <v/>
      </c>
    </row>
  </sheetData>
  <autoFilter ref="A4:R304"/>
  <mergeCells count="1">
    <mergeCell ref="B3:F3"/>
  </mergeCells>
  <conditionalFormatting sqref="A5:R304">
    <cfRule type="expression" priority="1" dxfId="0" stopIfTrue="0">
      <formula>OR(LEFT($B5,1)="1",LEFT($B5,1)="2",LEFT($B5,1)="3")</formula>
    </cfRule>
    <cfRule type="expression" priority="2" dxfId="1" stopIfTrue="0">
      <formula>OR(LEFT($B5,1)="4",LEFT($B5,1)="5")</formula>
    </cfRule>
    <cfRule type="expression" priority="3" dxfId="2" stopIfTrue="0">
      <formula>OR(LEFT($B5,1)="6",LEFT($B5,1)="7",LEFT($B5,1)="8")</formula>
    </cfRule>
  </conditionalFormatting>
  <dataValidations count="4">
    <dataValidation sqref="E5:E304" showDropDown="0" showInputMessage="0" showErrorMessage="0" allowBlank="1" errorTitle="Stato non valido" error="Scegli una voce dalla tendina." type="list">
      <formula1>"Da contattare,In ciclo,Mantenimento,Sospesa,Persa"</formula1>
    </dataValidation>
    <dataValidation sqref="C5:C304 I5:I304 Q5:Q304" showDropDown="0" showInputMessage="0" showErrorMessage="0" allowBlank="1" errorTitle="Serve una data" error="Scrivi una data, non del testo." type="date" operator="between">
      <formula1>DATE(2015,1,1)</formula1>
      <formula2>DATE(2100,1,1)</formula2>
    </dataValidation>
    <dataValidation sqref="D5:D304" showDropDown="0" showInputMessage="0" showErrorMessage="0" allowBlank="1" errorTitle="Serve un numero" error="Le sedute fatte sono un numero da 0 a 99." type="whole" operator="between">
      <formula1>0</formula1>
      <formula2>99</formula2>
    </dataValidation>
    <dataValidation sqref="N5:N304" showDropDown="0" showInputMessage="0" showErrorMessage="0" allowBlank="1" errorTitle="Serve un importo" error="Il prezzo a seduta è un numero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2" customWidth="1" min="3" max="3"/>
    <col width="48" customWidth="1" min="4" max="4"/>
    <col width="20" customWidth="1" min="5" max="5"/>
    <col width="14" customWidth="1" min="6" max="6"/>
  </cols>
  <sheetData>
    <row r="2">
      <c r="B2" s="1" t="inlineStr">
        <is>
          <t>RIEPILOGO</t>
        </is>
      </c>
    </row>
    <row r="3">
      <c r="B3" s="2" t="inlineStr">
        <is>
          <t>Le celle C5, C13, C17, C20, C26 e F5 le legge il master NIPEC: non spostarle.</t>
        </is>
      </c>
    </row>
    <row r="5">
      <c r="B5" s="20" t="inlineStr">
        <is>
          <t>DA RICHIAMARE</t>
        </is>
      </c>
      <c r="C5" s="21">
        <f>COUNTIF(CLIENTI!$S$5:$S$304,"?*")</f>
        <v/>
      </c>
      <c r="D5" s="2" t="inlineStr">
        <is>
          <t>quante righe hanno un avviso acceso adesso</t>
        </is>
      </c>
      <c r="E5" s="20" t="inlineStr">
        <is>
          <t>Da incassare €</t>
        </is>
      </c>
      <c r="F5" s="22">
        <f>SUM(CLIENTI!$P$5:$P$304)</f>
        <v/>
      </c>
    </row>
    <row r="6">
      <c r="E6" s="20" t="inlineStr">
        <is>
          <t>Già lasciati €</t>
        </is>
      </c>
      <c r="F6" s="22">
        <f>SUM(CLIENTI!$O$5:$O$304)</f>
        <v/>
      </c>
    </row>
    <row r="7">
      <c r="B7" s="20" t="inlineStr">
        <is>
          <t>Copertura appuntamento</t>
        </is>
      </c>
      <c r="C7" s="23">
        <f>IFERROR(COUNTIFS(CLIENTI!$E$5:$E$304,"In ciclo",CLIENTI!$C$5:$C$304,"&gt;="&amp;TODAY())/COUNTIF(CLIENTI!$E$5:$E$304,"In ciclo"),"")</f>
        <v/>
      </c>
      <c r="D7" s="2" t="inlineStr">
        <is>
          <t>sotto il 90% il centro sta perdendo clienti</t>
        </is>
      </c>
      <c r="E7" s="20" t="inlineStr">
        <is>
          <t>Media per cliente €</t>
        </is>
      </c>
      <c r="F7" s="22">
        <f>IFERROR(SUM(CLIENTI!$O$5:$O$304)/COUNTA(CLIENTI!$A$5:$A$304),0)</f>
        <v/>
      </c>
    </row>
    <row r="8">
      <c r="B8" s="20" t="inlineStr">
        <is>
          <t>Dormienti</t>
        </is>
      </c>
      <c r="C8" s="21">
        <f>SUMPRODUCT((CLIENTI!$A$5:$A$304&lt;&gt;"")*(CLIENTI!$I$5:$I$304&lt;&gt;"")*(CLIENTI!$I$5:$I$304&lt;=EDATE(TODAY(),-IMPOSTAZIONI!$C$10)))</f>
        <v/>
      </c>
      <c r="D8" s="2" t="inlineStr">
        <is>
          <t>ferme da oltre i mesi impostati</t>
        </is>
      </c>
    </row>
    <row r="13">
      <c r="B13" s="20" t="inlineStr">
        <is>
          <t>Percorsi attivi</t>
        </is>
      </c>
      <c r="C13" s="21">
        <f>COUNTIF(CLIENTI!$E$5:$E$304,"In ciclo")</f>
        <v/>
      </c>
      <c r="D13" s="2" t="inlineStr">
        <is>
          <t>clienti in ciclo</t>
        </is>
      </c>
    </row>
    <row r="17">
      <c r="B17" s="20" t="inlineStr">
        <is>
          <t>Persone in rubrica</t>
        </is>
      </c>
      <c r="C17" s="21">
        <f>COUNTA(CLIENTI!$A$5:$A$304)</f>
        <v/>
      </c>
      <c r="D17" s="2" t="inlineStr">
        <is>
          <t>schede totali</t>
        </is>
      </c>
    </row>
    <row r="20">
      <c r="B20" s="20" t="inlineStr">
        <is>
          <t>Nuove negli ultimi 30 gg</t>
        </is>
      </c>
      <c r="C20" s="21">
        <f>COUNTIFS(CLIENTI!$Q$5:$Q$304,"&gt;="&amp;TODAY()-30,CLIENTI!$Q$5:$Q$304,"&lt;="&amp;TODAY())</f>
        <v/>
      </c>
      <c r="D20" s="2" t="inlineStr">
        <is>
          <t>contatti entrati questo mese</t>
        </is>
      </c>
    </row>
    <row r="26">
      <c r="B26" s="20" t="inlineStr">
        <is>
          <t>Ultimo inserimento</t>
        </is>
      </c>
      <c r="C26" s="24">
        <f>IFERROR(MAX(CLIENTI!$Q$5:$Q$304),"")</f>
        <v/>
      </c>
      <c r="D26" s="2" t="inlineStr">
        <is>
          <t>l'ultima volta che qualcuno ha toccato la rubrica</t>
        </is>
      </c>
    </row>
    <row r="29">
      <c r="B29" s="3" t="inlineStr">
        <is>
          <t>Quante per avviso</t>
        </is>
      </c>
    </row>
    <row r="30">
      <c r="B30" s="25">
        <f>IMPOSTAZIONI!F5</f>
        <v/>
      </c>
      <c r="C30" s="26">
        <f>COUNTIF(CLIENTI!$S$5:$S$304,$B30)</f>
        <v/>
      </c>
    </row>
    <row r="31">
      <c r="B31" s="25">
        <f>IMPOSTAZIONI!F6</f>
        <v/>
      </c>
      <c r="C31" s="26">
        <f>COUNTIF(CLIENTI!$S$5:$S$304,$B30)</f>
        <v/>
      </c>
    </row>
    <row r="32">
      <c r="B32" s="25">
        <f>IMPOSTAZIONI!F7</f>
        <v/>
      </c>
      <c r="C32" s="26">
        <f>COUNTIF(CLIENTI!$S$5:$S$304,$B30)</f>
        <v/>
      </c>
    </row>
    <row r="33">
      <c r="B33" s="25">
        <f>IMPOSTAZIONI!F8</f>
        <v/>
      </c>
      <c r="C33" s="26">
        <f>COUNTIF(CLIENTI!$S$5:$S$304,$B30)</f>
        <v/>
      </c>
    </row>
    <row r="34">
      <c r="B34" s="25">
        <f>IMPOSTAZIONI!F9</f>
        <v/>
      </c>
      <c r="C34" s="26">
        <f>COUNTIF(CLIENTI!$S$5:$S$304,$B30)</f>
        <v/>
      </c>
    </row>
    <row r="35">
      <c r="B35" s="25">
        <f>IMPOSTAZIONI!F10</f>
        <v/>
      </c>
      <c r="C35" s="26">
        <f>COUNTIF(CLIENTI!$S$5:$S$304,$B30)</f>
        <v/>
      </c>
    </row>
    <row r="36">
      <c r="B36" s="25">
        <f>IMPOSTAZIONI!F11</f>
        <v/>
      </c>
      <c r="C36" s="26">
        <f>COUNTIF(CLIENTI!$S$5:$S$304,$B30)</f>
        <v/>
      </c>
    </row>
    <row r="37">
      <c r="B37" s="25">
        <f>IMPOSTAZIONI!F12</f>
        <v/>
      </c>
      <c r="C37" s="26">
        <f>COUNTIF(CLIENTI!$S$5:$S$304,$B30)</f>
        <v/>
      </c>
    </row>
    <row r="39">
      <c r="B39" s="9" t="inlineStr">
        <is>
          <t>In Excel alcune celle restano vuote finché non ricalcola: è normale, non è rotto.</t>
        </is>
      </c>
    </row>
  </sheetData>
  <mergeCells count="1">
    <mergeCell ref="B3:G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22" customWidth="1" min="3" max="3"/>
    <col width="52" customWidth="1" min="4" max="4"/>
    <col width="14" customWidth="1" min="5" max="5"/>
  </cols>
  <sheetData>
    <row r="2">
      <c r="B2" s="1" t="inlineStr">
        <is>
          <t>INCENTIVI</t>
        </is>
      </c>
    </row>
    <row r="3">
      <c r="B3" s="2" t="inlineStr">
        <is>
          <t>Tre offerte, una per famiglia. Il nome finisce da solo nella rubrica.</t>
        </is>
      </c>
    </row>
    <row r="4">
      <c r="B4" s="5" t="inlineStr">
        <is>
          <t>Famiglia</t>
        </is>
      </c>
      <c r="C4" s="5" t="inlineStr">
        <is>
          <t>Nome dell'offerta</t>
        </is>
      </c>
      <c r="D4" s="5" t="inlineStr">
        <is>
          <t>Cosa dice — finisce nel messaggio</t>
        </is>
      </c>
      <c r="E4" s="5" t="inlineStr">
        <is>
          <t>Valida fino al</t>
        </is>
      </c>
    </row>
    <row r="5">
      <c r="B5" s="20" t="inlineStr">
        <is>
          <t>In ciclo</t>
        </is>
      </c>
      <c r="C5" s="11" t="inlineStr">
        <is>
          <t>Offerta Laser 1</t>
        </is>
      </c>
      <c r="D5" s="11" t="inlineStr">
        <is>
          <t>Per i rientri e per chi apre una zona nuova.</t>
        </is>
      </c>
      <c r="E5" s="13" t="n"/>
    </row>
    <row r="6">
      <c r="B6" s="20" t="inlineStr">
        <is>
          <t>Mantenimento</t>
        </is>
      </c>
      <c r="C6" s="11" t="inlineStr">
        <is>
          <t>Offerta Laser 2</t>
        </is>
      </c>
      <c r="D6" s="11" t="inlineStr">
        <is>
          <t>Il richiamo a 90 giorni: deve costare poco e fissarsi subito.</t>
        </is>
      </c>
      <c r="E6" s="13" t="n"/>
    </row>
    <row r="7">
      <c r="B7" s="20" t="inlineStr">
        <is>
          <t>Persa</t>
        </is>
      </c>
      <c r="C7" s="11" t="inlineStr">
        <is>
          <t>Offerta Laser 3</t>
        </is>
      </c>
      <c r="D7" s="11" t="inlineStr">
        <is>
          <t>Recupero delle addormentate: l'unica che può essere aggressiva.</t>
        </is>
      </c>
      <c r="E7" s="13" t="n"/>
    </row>
    <row r="9">
      <c r="B9" s="9" t="inlineStr">
        <is>
          <t>La famiglia non si tocca: è quella che collega l'offerta all'avviso.</t>
        </is>
      </c>
    </row>
  </sheetData>
  <mergeCells count="1">
    <mergeCell ref="B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0" customWidth="1" min="3" max="3"/>
    <col width="58" customWidth="1" min="4" max="4"/>
    <col width="5" customWidth="1" min="5" max="5"/>
    <col width="26" customWidth="1" min="6" max="6"/>
  </cols>
  <sheetData>
    <row r="2">
      <c r="B2" s="1" t="inlineStr">
        <is>
          <t>IMPOSTAZIONI</t>
        </is>
      </c>
    </row>
    <row r="3">
      <c r="B3" s="2" t="inlineStr">
        <is>
          <t>I sei numeri che comandano tutti gli avvisi. Giallo = si scrive.</t>
        </is>
      </c>
      <c r="E3" s="3" t="inlineStr">
        <is>
          <t>L'ordine di lavoro</t>
        </is>
      </c>
    </row>
    <row r="4">
      <c r="E4" s="5" t="inlineStr">
        <is>
          <t>n.</t>
        </is>
      </c>
      <c r="F4" s="5" t="inlineStr">
        <is>
          <t>avviso</t>
        </is>
      </c>
    </row>
    <row r="5">
      <c r="B5" s="20" t="inlineStr">
        <is>
          <t>Sedute per ciclo</t>
        </is>
      </c>
      <c r="C5" s="27" t="n">
        <v>12</v>
      </c>
      <c r="D5" s="2" t="inlineStr">
        <is>
          <t>Arrivata a questo numero scatta ULTIMA SEDUTA.</t>
        </is>
      </c>
      <c r="E5" s="28" t="n">
        <v>1</v>
      </c>
      <c r="F5" s="29" t="inlineStr">
        <is>
          <t>CONFERMA DOMANI</t>
        </is>
      </c>
    </row>
    <row r="6">
      <c r="B6" s="20" t="inlineStr">
        <is>
          <t>Rientro da (giorni)</t>
        </is>
      </c>
      <c r="C6" s="27" t="n">
        <v>21</v>
      </c>
      <c r="D6" s="2" t="inlineStr">
        <is>
          <t>Prima, la ricrescita non è pronta.</t>
        </is>
      </c>
      <c r="E6" s="28" t="n">
        <v>2</v>
      </c>
      <c r="F6" s="29" t="inlineStr">
        <is>
          <t>CHIAMA PER CONFERMA</t>
        </is>
      </c>
    </row>
    <row r="7">
      <c r="B7" s="20" t="inlineStr">
        <is>
          <t>Rientro entro (giorni)</t>
        </is>
      </c>
      <c r="C7" s="27" t="n">
        <v>28</v>
      </c>
      <c r="D7" s="2" t="inlineStr">
        <is>
          <t>Oltre, la cliente è FUORI FINESTRA.</t>
        </is>
      </c>
      <c r="E7" s="28" t="n">
        <v>3</v>
      </c>
      <c r="F7" s="29" t="inlineStr">
        <is>
          <t>APPUNTAMENTO SALTATO</t>
        </is>
      </c>
    </row>
    <row r="8">
      <c r="B8" s="20" t="inlineStr">
        <is>
          <t>Conferma quanti giorni prima</t>
        </is>
      </c>
      <c r="C8" s="27" t="n">
        <v>7</v>
      </c>
      <c r="D8" s="2" t="inlineStr">
        <is>
          <t>La prima telefonata di conferma. La seconda è sempre il giorno prima.</t>
        </is>
      </c>
      <c r="E8" s="28" t="n">
        <v>4</v>
      </c>
      <c r="F8" s="29" t="inlineStr">
        <is>
          <t>PRENDI APPUNTAMENTO</t>
        </is>
      </c>
    </row>
    <row r="9">
      <c r="B9" s="20" t="inlineStr">
        <is>
          <t>Mantenimento ogni (giorni)</t>
        </is>
      </c>
      <c r="C9" s="27" t="n">
        <v>90</v>
      </c>
      <c r="D9" s="2" t="inlineStr">
        <is>
          <t>Ogni quanto si richiama chi ha finito il ciclo.</t>
        </is>
      </c>
      <c r="E9" s="28" t="n">
        <v>5</v>
      </c>
      <c r="F9" s="29" t="inlineStr">
        <is>
          <t>FUORI FINESTRA</t>
        </is>
      </c>
    </row>
    <row r="10">
      <c r="B10" s="20" t="inlineStr">
        <is>
          <t>Dormiente dopo (mesi)</t>
        </is>
      </c>
      <c r="C10" s="27" t="n">
        <v>6</v>
      </c>
      <c r="D10" s="2" t="inlineStr">
        <is>
          <t>In MESI. Dopo questo silenzio si passa alle offerte di recupero.</t>
        </is>
      </c>
      <c r="E10" s="28" t="n">
        <v>6</v>
      </c>
      <c r="F10" s="29" t="inlineStr">
        <is>
          <t>ULTIMA SEDUTA</t>
        </is>
      </c>
    </row>
    <row r="11">
      <c r="E11" s="28" t="n">
        <v>7</v>
      </c>
      <c r="F11" s="29" t="inlineStr">
        <is>
          <t>RICHIAMO MANTENIMENTO</t>
        </is>
      </c>
    </row>
    <row r="12">
      <c r="E12" s="28" t="n">
        <v>8</v>
      </c>
      <c r="F12" s="29" t="inlineStr">
        <is>
          <t>RECUPERA CON INCENTIVO</t>
        </is>
      </c>
    </row>
    <row r="14">
      <c r="F14" s="9" t="inlineStr">
        <is>
          <t>La posizione in questa lista È la priorità: sposti una riga e tutto il centro si riordina.</t>
        </is>
      </c>
    </row>
    <row r="15">
      <c r="F15" s="9" t="inlineStr">
        <is>
          <t>Prima quello che oggi si spegne da solo, poi quello che resta acceso finché non lo chiudi.</t>
        </is>
      </c>
    </row>
  </sheetData>
  <mergeCells count="1">
    <mergeCell ref="B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NIPEC · Tecnologie Estetiche</dc:creator>
  <dc:title>Cruscotto Clienti · laser</dc:title>
  <dcterms:created xsi:type="dcterms:W3CDTF">2026-08-24T15:38:12Z</dcterms:created>
  <dcterms:modified xsi:type="dcterms:W3CDTF">2026-08-24T15:38:12Z</dcterms:modified>
</cp:coreProperties>
</file>